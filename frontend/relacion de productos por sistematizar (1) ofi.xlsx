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PV/GTvC+095CPd9N1vzBe2CTFFQ6SqgkzfCBVRZjFZA="/>
    </ext>
  </extLst>
</workbook>
</file>

<file path=xl/sharedStrings.xml><?xml version="1.0" encoding="utf-8"?>
<sst xmlns="http://schemas.openxmlformats.org/spreadsheetml/2006/main" count="1033" uniqueCount="1016">
  <si>
    <t>Buscar</t>
  </si>
  <si>
    <t xml:space="preserve">h platano </t>
  </si>
  <si>
    <t>Codigo</t>
  </si>
  <si>
    <t>Precio de venta por Kilo</t>
  </si>
  <si>
    <t>Cantidad</t>
  </si>
  <si>
    <t>Precio de venta por Saco</t>
  </si>
  <si>
    <t>INVENTARIO</t>
  </si>
  <si>
    <t xml:space="preserve">PRODUCTO </t>
  </si>
  <si>
    <t>Precio de compra por kilo</t>
  </si>
  <si>
    <t>Precio de compra por saco</t>
  </si>
  <si>
    <t>Precio por kilo del cliente</t>
  </si>
  <si>
    <t xml:space="preserve">precio al menudeo </t>
  </si>
  <si>
    <t>A001</t>
  </si>
  <si>
    <t>H. 7 semillas</t>
  </si>
  <si>
    <t>A002</t>
  </si>
  <si>
    <t>H. soya</t>
  </si>
  <si>
    <t>A003</t>
  </si>
  <si>
    <t>H. maca</t>
  </si>
  <si>
    <t>A004</t>
  </si>
  <si>
    <t>H. algarrobina</t>
  </si>
  <si>
    <t>A005</t>
  </si>
  <si>
    <t>H. habas(H.E)</t>
  </si>
  <si>
    <t>A006</t>
  </si>
  <si>
    <t>H. habas ( H.T)</t>
  </si>
  <si>
    <t>A007</t>
  </si>
  <si>
    <t xml:space="preserve">H. alverja </t>
  </si>
  <si>
    <t>A008</t>
  </si>
  <si>
    <t>H. machica de cebada</t>
  </si>
  <si>
    <t>A009</t>
  </si>
  <si>
    <t>H. machica de trigo</t>
  </si>
  <si>
    <t>A010</t>
  </si>
  <si>
    <t>H. trigo</t>
  </si>
  <si>
    <t>A011</t>
  </si>
  <si>
    <t>H. trigo norte</t>
  </si>
  <si>
    <t>A012</t>
  </si>
  <si>
    <t>H. cañihua</t>
  </si>
  <si>
    <t>A013</t>
  </si>
  <si>
    <t>H. platano</t>
  </si>
  <si>
    <t>A014</t>
  </si>
  <si>
    <t>H. kiwicha</t>
  </si>
  <si>
    <t>A015</t>
  </si>
  <si>
    <t xml:space="preserve">H. quinua </t>
  </si>
  <si>
    <t>A016</t>
  </si>
  <si>
    <t>H. camote</t>
  </si>
  <si>
    <t>A017</t>
  </si>
  <si>
    <t>H. yuca</t>
  </si>
  <si>
    <t>A018</t>
  </si>
  <si>
    <t>H. cebolla</t>
  </si>
  <si>
    <t xml:space="preserve">30 - 25 </t>
  </si>
  <si>
    <t>A019</t>
  </si>
  <si>
    <t>H. ajos</t>
  </si>
  <si>
    <t>30 - 25</t>
  </si>
  <si>
    <t>A020</t>
  </si>
  <si>
    <t>H. kion</t>
  </si>
  <si>
    <t>25 - 20</t>
  </si>
  <si>
    <t>A021</t>
  </si>
  <si>
    <t>H. comino</t>
  </si>
  <si>
    <t>20 - 18</t>
  </si>
  <si>
    <t>A022</t>
  </si>
  <si>
    <t>H. pimienta</t>
  </si>
  <si>
    <t>A023</t>
  </si>
  <si>
    <t>H. tomillo</t>
  </si>
  <si>
    <t>A024</t>
  </si>
  <si>
    <t>H. romero</t>
  </si>
  <si>
    <t>A025</t>
  </si>
  <si>
    <t>H. laurel</t>
  </si>
  <si>
    <t>60 - 50</t>
  </si>
  <si>
    <t>A026</t>
  </si>
  <si>
    <t>H. oregano pitzero</t>
  </si>
  <si>
    <t>A027</t>
  </si>
  <si>
    <t>H. oregano polvo</t>
  </si>
  <si>
    <t>A028</t>
  </si>
  <si>
    <t>H. sango</t>
  </si>
  <si>
    <t>8 - 7</t>
  </si>
  <si>
    <t>A029</t>
  </si>
  <si>
    <t xml:space="preserve">H. maiz </t>
  </si>
  <si>
    <t>A030</t>
  </si>
  <si>
    <t xml:space="preserve">H. maiz amarrillo </t>
  </si>
  <si>
    <t>6 - 5</t>
  </si>
  <si>
    <t>A031</t>
  </si>
  <si>
    <t>H. tocosh</t>
  </si>
  <si>
    <t>sin stock</t>
  </si>
  <si>
    <t>A032</t>
  </si>
  <si>
    <t>H. arroz</t>
  </si>
  <si>
    <t>A033</t>
  </si>
  <si>
    <t>H. avena</t>
  </si>
  <si>
    <t>A034</t>
  </si>
  <si>
    <t>H. lucma</t>
  </si>
  <si>
    <t>A035</t>
  </si>
  <si>
    <t>H. garbanzo</t>
  </si>
  <si>
    <t>A036</t>
  </si>
  <si>
    <t xml:space="preserve">H. almendra </t>
  </si>
  <si>
    <t>A037</t>
  </si>
  <si>
    <t>H. linaza</t>
  </si>
  <si>
    <t>A038</t>
  </si>
  <si>
    <t>H. chuño negro</t>
  </si>
  <si>
    <t>A039</t>
  </si>
  <si>
    <t>H. ajonjoli</t>
  </si>
  <si>
    <t>A040</t>
  </si>
  <si>
    <t>H. palillo</t>
  </si>
  <si>
    <t>A041</t>
  </si>
  <si>
    <t>H. pimenton</t>
  </si>
  <si>
    <t>A042</t>
  </si>
  <si>
    <t>H.azafran-curcuma</t>
  </si>
  <si>
    <t>14 - 12</t>
  </si>
  <si>
    <t>A043</t>
  </si>
  <si>
    <t>H.cafe</t>
  </si>
  <si>
    <t>A044</t>
  </si>
  <si>
    <t>H. aji panca (c/p)</t>
  </si>
  <si>
    <t>A045</t>
  </si>
  <si>
    <t>H.paprica (s/p)</t>
  </si>
  <si>
    <t>A046</t>
  </si>
  <si>
    <t>H. pimienta blanca</t>
  </si>
  <si>
    <t>30 - 28</t>
  </si>
  <si>
    <t>A047</t>
  </si>
  <si>
    <t>H. cacao</t>
  </si>
  <si>
    <t>A048</t>
  </si>
  <si>
    <t>H. achote</t>
  </si>
  <si>
    <t>A049</t>
  </si>
  <si>
    <t>bicarbonato</t>
  </si>
  <si>
    <t>A050</t>
  </si>
  <si>
    <t>H. cocoa</t>
  </si>
  <si>
    <t>A051</t>
  </si>
  <si>
    <t xml:space="preserve">mani molido </t>
  </si>
  <si>
    <t>A052</t>
  </si>
  <si>
    <t>H. pan</t>
  </si>
  <si>
    <t>A053</t>
  </si>
  <si>
    <t>lenteja</t>
  </si>
  <si>
    <t>A054</t>
  </si>
  <si>
    <t>alverja verde partida</t>
  </si>
  <si>
    <t>A055</t>
  </si>
  <si>
    <t>lentejon</t>
  </si>
  <si>
    <t>A056</t>
  </si>
  <si>
    <t>moron (partido)</t>
  </si>
  <si>
    <t>A057</t>
  </si>
  <si>
    <t>moron (entero)</t>
  </si>
  <si>
    <t>A058</t>
  </si>
  <si>
    <t>moron (tostado)</t>
  </si>
  <si>
    <t>A059</t>
  </si>
  <si>
    <t>trigo amarrillo</t>
  </si>
  <si>
    <t>A060</t>
  </si>
  <si>
    <t>trigo resvalado</t>
  </si>
  <si>
    <t>A061</t>
  </si>
  <si>
    <t>canario</t>
  </si>
  <si>
    <t>A062</t>
  </si>
  <si>
    <t>pallares</t>
  </si>
  <si>
    <t>A063</t>
  </si>
  <si>
    <t>panamito</t>
  </si>
  <si>
    <t>A064</t>
  </si>
  <si>
    <t>garbanzo</t>
  </si>
  <si>
    <t>A065</t>
  </si>
  <si>
    <t>soya entera</t>
  </si>
  <si>
    <t>A066</t>
  </si>
  <si>
    <t>castilla - chiclayo</t>
  </si>
  <si>
    <t>A067</t>
  </si>
  <si>
    <t>camanejo</t>
  </si>
  <si>
    <t>A068</t>
  </si>
  <si>
    <t>frejol negro</t>
  </si>
  <si>
    <t>A069</t>
  </si>
  <si>
    <t>frejol rojo</t>
  </si>
  <si>
    <t>A070</t>
  </si>
  <si>
    <t>caballero</t>
  </si>
  <si>
    <t>A071</t>
  </si>
  <si>
    <t>numia plomo</t>
  </si>
  <si>
    <t>A072</t>
  </si>
  <si>
    <t>numia roja</t>
  </si>
  <si>
    <t>-</t>
  </si>
  <si>
    <t>A073</t>
  </si>
  <si>
    <t>numia blanco</t>
  </si>
  <si>
    <t>A074</t>
  </si>
  <si>
    <t>habas entera</t>
  </si>
  <si>
    <t>A075</t>
  </si>
  <si>
    <t xml:space="preserve">habas partida pelada </t>
  </si>
  <si>
    <t>A076</t>
  </si>
  <si>
    <t>quinua entera</t>
  </si>
  <si>
    <t>A077</t>
  </si>
  <si>
    <t>linaza entera (importada)</t>
  </si>
  <si>
    <t>A078</t>
  </si>
  <si>
    <t>ajonjoli normal entero</t>
  </si>
  <si>
    <t>A079</t>
  </si>
  <si>
    <t>chia</t>
  </si>
  <si>
    <t>A080</t>
  </si>
  <si>
    <t>kiwicha entera</t>
  </si>
  <si>
    <t>A081</t>
  </si>
  <si>
    <t>cañihua entera</t>
  </si>
  <si>
    <t>A082</t>
  </si>
  <si>
    <t>quinua roja</t>
  </si>
  <si>
    <t>A083</t>
  </si>
  <si>
    <t>quinua negra</t>
  </si>
  <si>
    <t>A084</t>
  </si>
  <si>
    <t>ajonjoli negro entero</t>
  </si>
  <si>
    <t>A085</t>
  </si>
  <si>
    <t xml:space="preserve">ajonjoli blanco entero </t>
  </si>
  <si>
    <t>A086</t>
  </si>
  <si>
    <t>calla entera</t>
  </si>
  <si>
    <t>A087</t>
  </si>
  <si>
    <t>mani crudo (chico)</t>
  </si>
  <si>
    <t>A088</t>
  </si>
  <si>
    <t>mani crudo (grande)</t>
  </si>
  <si>
    <t>A089</t>
  </si>
  <si>
    <t>maca entera negra</t>
  </si>
  <si>
    <t>A090</t>
  </si>
  <si>
    <t xml:space="preserve">maca entera amarrila </t>
  </si>
  <si>
    <t>A091</t>
  </si>
  <si>
    <t>linaza entera(nacional)</t>
  </si>
  <si>
    <t>A092</t>
  </si>
  <si>
    <t>alpiste</t>
  </si>
  <si>
    <t>A093</t>
  </si>
  <si>
    <t xml:space="preserve">pop corn </t>
  </si>
  <si>
    <t>A094</t>
  </si>
  <si>
    <t>mote</t>
  </si>
  <si>
    <t>9 - 8</t>
  </si>
  <si>
    <t>A095</t>
  </si>
  <si>
    <t>maiz blanco entero</t>
  </si>
  <si>
    <t>A096</t>
  </si>
  <si>
    <t>maiz plomo entero</t>
  </si>
  <si>
    <t>A097</t>
  </si>
  <si>
    <t>maiz rojo entero</t>
  </si>
  <si>
    <t>A098</t>
  </si>
  <si>
    <t>maiz chullpi</t>
  </si>
  <si>
    <t>10 - 8</t>
  </si>
  <si>
    <t>A099</t>
  </si>
  <si>
    <t>cebada tostada</t>
  </si>
  <si>
    <t>A100</t>
  </si>
  <si>
    <t>cebada negra</t>
  </si>
  <si>
    <t>A101</t>
  </si>
  <si>
    <t>cebada gruda</t>
  </si>
  <si>
    <t>A102</t>
  </si>
  <si>
    <t>cacao entero</t>
  </si>
  <si>
    <t>A103</t>
  </si>
  <si>
    <t xml:space="preserve">café entero </t>
  </si>
  <si>
    <t>A104</t>
  </si>
  <si>
    <t>muray blanco</t>
  </si>
  <si>
    <t>A105</t>
  </si>
  <si>
    <t>chuño negro</t>
  </si>
  <si>
    <t>A106</t>
  </si>
  <si>
    <t>papa seca amarrilla entera</t>
  </si>
  <si>
    <t>A107</t>
  </si>
  <si>
    <t>papa seca amarrilla partida</t>
  </si>
  <si>
    <t>A108</t>
  </si>
  <si>
    <t>papa seca negra partida</t>
  </si>
  <si>
    <t>A109</t>
  </si>
  <si>
    <t>habas tostatada entera</t>
  </si>
  <si>
    <t>10 - 9</t>
  </si>
  <si>
    <t>A110</t>
  </si>
  <si>
    <t>pallar bb</t>
  </si>
  <si>
    <t xml:space="preserve">8 - 7 </t>
  </si>
  <si>
    <t>A111</t>
  </si>
  <si>
    <t>jora nacional</t>
  </si>
  <si>
    <t xml:space="preserve">6 - 5 </t>
  </si>
  <si>
    <t>A112</t>
  </si>
  <si>
    <t xml:space="preserve">jora importada(shura) </t>
  </si>
  <si>
    <t>A113</t>
  </si>
  <si>
    <t xml:space="preserve">polen </t>
  </si>
  <si>
    <t>A114</t>
  </si>
  <si>
    <t>pimienta entera</t>
  </si>
  <si>
    <t>A115</t>
  </si>
  <si>
    <t xml:space="preserve">comino entero </t>
  </si>
  <si>
    <t>A116</t>
  </si>
  <si>
    <t>pimienta chapa</t>
  </si>
  <si>
    <t>A117</t>
  </si>
  <si>
    <t>pimineta blanca entera</t>
  </si>
  <si>
    <t>A118</t>
  </si>
  <si>
    <t>ajinomoto (naranja)</t>
  </si>
  <si>
    <t>A119</t>
  </si>
  <si>
    <t>ajinomoto (nakamito)</t>
  </si>
  <si>
    <t>A120</t>
  </si>
  <si>
    <t>ajinomoto (lu-yao)</t>
  </si>
  <si>
    <t>A121</t>
  </si>
  <si>
    <t>semillas de girasol con cascara</t>
  </si>
  <si>
    <t>A122</t>
  </si>
  <si>
    <t>semillas de girasol pelado</t>
  </si>
  <si>
    <t>A123</t>
  </si>
  <si>
    <t>semillas de moringa</t>
  </si>
  <si>
    <t>A124</t>
  </si>
  <si>
    <t>semillas de calabaza</t>
  </si>
  <si>
    <t>A125</t>
  </si>
  <si>
    <t>te negro</t>
  </si>
  <si>
    <t>A126</t>
  </si>
  <si>
    <t>te rubio</t>
  </si>
  <si>
    <t>A127</t>
  </si>
  <si>
    <t>oregano entero (comercila)</t>
  </si>
  <si>
    <t>A128</t>
  </si>
  <si>
    <t>oregano entero (bb)</t>
  </si>
  <si>
    <t>A129</t>
  </si>
  <si>
    <t>oregano entero (extra)</t>
  </si>
  <si>
    <t>A130</t>
  </si>
  <si>
    <t xml:space="preserve">laurel </t>
  </si>
  <si>
    <t>A131</t>
  </si>
  <si>
    <t>hoja de moringa</t>
  </si>
  <si>
    <t>A132</t>
  </si>
  <si>
    <t>hoja de estevia</t>
  </si>
  <si>
    <t>A133</t>
  </si>
  <si>
    <t>cascara de cacao</t>
  </si>
  <si>
    <t>veriricar precio</t>
  </si>
  <si>
    <t>A134</t>
  </si>
  <si>
    <t>flor de jamaica</t>
  </si>
  <si>
    <t>A135</t>
  </si>
  <si>
    <t xml:space="preserve">hoja de sen </t>
  </si>
  <si>
    <t>A136</t>
  </si>
  <si>
    <t>te verde</t>
  </si>
  <si>
    <t>A137</t>
  </si>
  <si>
    <t>algas marinas</t>
  </si>
  <si>
    <t>A138</t>
  </si>
  <si>
    <t>flor blanca</t>
  </si>
  <si>
    <t>A139</t>
  </si>
  <si>
    <t>boldo</t>
  </si>
  <si>
    <t>A140</t>
  </si>
  <si>
    <t>SEN</t>
  </si>
  <si>
    <t>A141</t>
  </si>
  <si>
    <t>alusema</t>
  </si>
  <si>
    <t>A142</t>
  </si>
  <si>
    <t>aji colorado C/P</t>
  </si>
  <si>
    <t>A143</t>
  </si>
  <si>
    <t>aji colorado S/P</t>
  </si>
  <si>
    <t>A144</t>
  </si>
  <si>
    <t>aji amarrillo C/P</t>
  </si>
  <si>
    <t>A145</t>
  </si>
  <si>
    <t>aji amarrillo S/P</t>
  </si>
  <si>
    <t>A146</t>
  </si>
  <si>
    <t>aji paprica C/P</t>
  </si>
  <si>
    <t>A147</t>
  </si>
  <si>
    <t>aji paprica S/P</t>
  </si>
  <si>
    <t>A148</t>
  </si>
  <si>
    <t>aji capri</t>
  </si>
  <si>
    <t>A149</t>
  </si>
  <si>
    <t>mani tostado partido</t>
  </si>
  <si>
    <t>A150</t>
  </si>
  <si>
    <t>mani tostado bolon</t>
  </si>
  <si>
    <t>A151</t>
  </si>
  <si>
    <t>habas frita(abeja)</t>
  </si>
  <si>
    <t>A152</t>
  </si>
  <si>
    <t>mani dulce(abeja)</t>
  </si>
  <si>
    <t>A153</t>
  </si>
  <si>
    <t>mnai partido salado(abeja)</t>
  </si>
  <si>
    <t>A154</t>
  </si>
  <si>
    <t>mani bolon salado(abeja)</t>
  </si>
  <si>
    <t>A155</t>
  </si>
  <si>
    <t>mani con ajonjoli</t>
  </si>
  <si>
    <t>A156</t>
  </si>
  <si>
    <t>mani con chia</t>
  </si>
  <si>
    <t>20 - 19</t>
  </si>
  <si>
    <t>A157</t>
  </si>
  <si>
    <t>mani picante</t>
  </si>
  <si>
    <t>A158</t>
  </si>
  <si>
    <t>galletas de ajonjoli</t>
  </si>
  <si>
    <t>A159</t>
  </si>
  <si>
    <t>galletas de ajonjoli con chia</t>
  </si>
  <si>
    <t>A160</t>
  </si>
  <si>
    <t>galletas de chia</t>
  </si>
  <si>
    <t>A161</t>
  </si>
  <si>
    <t>preslet</t>
  </si>
  <si>
    <t>A162</t>
  </si>
  <si>
    <t>palitos chinos</t>
  </si>
  <si>
    <t>A163</t>
  </si>
  <si>
    <t>paliyuca (delgado)</t>
  </si>
  <si>
    <t>A164</t>
  </si>
  <si>
    <t>paliyuca (grueso)</t>
  </si>
  <si>
    <t>A165</t>
  </si>
  <si>
    <t>numia tostada</t>
  </si>
  <si>
    <t>A166</t>
  </si>
  <si>
    <t>cancha tostada</t>
  </si>
  <si>
    <t>A167</t>
  </si>
  <si>
    <t>kiwica en canicas (pequño)</t>
  </si>
  <si>
    <t>A168</t>
  </si>
  <si>
    <t>kiwicha en tiras (canicas-disco-corazon-rectangulo)</t>
  </si>
  <si>
    <t>A169</t>
  </si>
  <si>
    <t>granola en tiras</t>
  </si>
  <si>
    <t>A170</t>
  </si>
  <si>
    <t>frutos secos mix</t>
  </si>
  <si>
    <t>A171</t>
  </si>
  <si>
    <t>kiwicha canicas( grande)</t>
  </si>
  <si>
    <t>A172</t>
  </si>
  <si>
    <t>camote frito</t>
  </si>
  <si>
    <t>A173</t>
  </si>
  <si>
    <t>papas lays (oregano-picante-clasico)</t>
  </si>
  <si>
    <t>A174</t>
  </si>
  <si>
    <t>chifle dulce moneda</t>
  </si>
  <si>
    <t>A175</t>
  </si>
  <si>
    <t>chifle dulce lengua</t>
  </si>
  <si>
    <t>A176</t>
  </si>
  <si>
    <t>chifle salado moneda</t>
  </si>
  <si>
    <t>A177</t>
  </si>
  <si>
    <t>chifle salado lengua</t>
  </si>
  <si>
    <t>A178</t>
  </si>
  <si>
    <t>chancaca</t>
  </si>
  <si>
    <t>A179</t>
  </si>
  <si>
    <t>chicharron de soya</t>
  </si>
  <si>
    <t>A180</t>
  </si>
  <si>
    <t>chicharron de tosino</t>
  </si>
  <si>
    <t>A181</t>
  </si>
  <si>
    <t>ositos de goma chiquito</t>
  </si>
  <si>
    <t>A182</t>
  </si>
  <si>
    <t>ositos de goma (grande)</t>
  </si>
  <si>
    <t>A183</t>
  </si>
  <si>
    <t>pelotitas de chocolate</t>
  </si>
  <si>
    <t>A184</t>
  </si>
  <si>
    <t>monedas de chocolate</t>
  </si>
  <si>
    <t>A185</t>
  </si>
  <si>
    <t>gomitas dibujitos( la bubu-stich-corazon-etc)</t>
  </si>
  <si>
    <t>A186</t>
  </si>
  <si>
    <t>mashmelo(colores-blanco)</t>
  </si>
  <si>
    <t>A187</t>
  </si>
  <si>
    <t>granola paquete personal</t>
  </si>
  <si>
    <t>A188</t>
  </si>
  <si>
    <t>granola de 500</t>
  </si>
  <si>
    <t>A189</t>
  </si>
  <si>
    <t>granola 1k</t>
  </si>
  <si>
    <t>A190</t>
  </si>
  <si>
    <t xml:space="preserve">chispitas de caramelo </t>
  </si>
  <si>
    <t>A191</t>
  </si>
  <si>
    <t>pecana acaramelada</t>
  </si>
  <si>
    <t>A192</t>
  </si>
  <si>
    <t>almendra acaramelada</t>
  </si>
  <si>
    <t>A193</t>
  </si>
  <si>
    <t>pecana con chocolate</t>
  </si>
  <si>
    <t>A194</t>
  </si>
  <si>
    <t xml:space="preserve">almendra con chocolate </t>
  </si>
  <si>
    <t>A195</t>
  </si>
  <si>
    <t>pasas con chocolate</t>
  </si>
  <si>
    <t>A196</t>
  </si>
  <si>
    <t>mani con chocolate</t>
  </si>
  <si>
    <t>A197</t>
  </si>
  <si>
    <t>gelatina kiva de 5k</t>
  </si>
  <si>
    <t>A198</t>
  </si>
  <si>
    <t>gelatina gelou de 5k</t>
  </si>
  <si>
    <t>A199</t>
  </si>
  <si>
    <t xml:space="preserve">gelatinitas </t>
  </si>
  <si>
    <t xml:space="preserve"> 411 und</t>
  </si>
  <si>
    <t>A200</t>
  </si>
  <si>
    <t>grajeas eladero de 10k</t>
  </si>
  <si>
    <t xml:space="preserve"> 5 bol de 10k por saco</t>
  </si>
  <si>
    <t>A201</t>
  </si>
  <si>
    <t>grajeas (chiquito)</t>
  </si>
  <si>
    <t>A202</t>
  </si>
  <si>
    <t>grajeas (mediano)</t>
  </si>
  <si>
    <t>A203</t>
  </si>
  <si>
    <t>grajeas (grande)</t>
  </si>
  <si>
    <t>A204</t>
  </si>
  <si>
    <t>grajeas (estrella)</t>
  </si>
  <si>
    <t>A205</t>
  </si>
  <si>
    <t>avena granola-ojuela de avena</t>
  </si>
  <si>
    <t>A206</t>
  </si>
  <si>
    <t>avena aplastada</t>
  </si>
  <si>
    <t>A207</t>
  </si>
  <si>
    <t>ojuela de quinua</t>
  </si>
  <si>
    <t>A208</t>
  </si>
  <si>
    <t>ojuela de kiwicha</t>
  </si>
  <si>
    <t>A209</t>
  </si>
  <si>
    <t>ojuela de cañihua</t>
  </si>
  <si>
    <t>A210</t>
  </si>
  <si>
    <t>salvado de trigo</t>
  </si>
  <si>
    <t>A211</t>
  </si>
  <si>
    <t xml:space="preserve">germen de trigo </t>
  </si>
  <si>
    <t>A212</t>
  </si>
  <si>
    <t>semitillas</t>
  </si>
  <si>
    <t xml:space="preserve"> rea = 4 kilo</t>
  </si>
  <si>
    <t>A213</t>
  </si>
  <si>
    <t>pecana pelada</t>
  </si>
  <si>
    <t>A214</t>
  </si>
  <si>
    <t>pecana con cascara</t>
  </si>
  <si>
    <t>A215</t>
  </si>
  <si>
    <t>nuez pelada</t>
  </si>
  <si>
    <t>A216</t>
  </si>
  <si>
    <t>nuez con cascara</t>
  </si>
  <si>
    <t>A217</t>
  </si>
  <si>
    <t>almendra</t>
  </si>
  <si>
    <t>A218</t>
  </si>
  <si>
    <t xml:space="preserve">castaña </t>
  </si>
  <si>
    <t>A219</t>
  </si>
  <si>
    <t>pistacho</t>
  </si>
  <si>
    <t>A220</t>
  </si>
  <si>
    <t>caju-cashu-anacardo</t>
  </si>
  <si>
    <t>A221</t>
  </si>
  <si>
    <t xml:space="preserve">abellana </t>
  </si>
  <si>
    <t>A222</t>
  </si>
  <si>
    <t>sachainchi</t>
  </si>
  <si>
    <t>A223</t>
  </si>
  <si>
    <t xml:space="preserve">anis estrella </t>
  </si>
  <si>
    <t>A224</t>
  </si>
  <si>
    <t>anis grano-normal</t>
  </si>
  <si>
    <t>A225</t>
  </si>
  <si>
    <t>clavo</t>
  </si>
  <si>
    <t>A226</t>
  </si>
  <si>
    <t>canela</t>
  </si>
  <si>
    <t>A227</t>
  </si>
  <si>
    <t>pasas (NACIONAL)</t>
  </si>
  <si>
    <t>A228</t>
  </si>
  <si>
    <t>pasas (IMPORTADA)</t>
  </si>
  <si>
    <t>A229</t>
  </si>
  <si>
    <t>pasas (BB)</t>
  </si>
  <si>
    <t>A230</t>
  </si>
  <si>
    <t>pasas (CON PEPA)</t>
  </si>
  <si>
    <t>A231</t>
  </si>
  <si>
    <t>pasas (RUBIA GRANDE)</t>
  </si>
  <si>
    <t>A232</t>
  </si>
  <si>
    <t>pasas (RUBIA CHIKITO)</t>
  </si>
  <si>
    <t>A233</t>
  </si>
  <si>
    <t>GUINDONES (CHIKITO)</t>
  </si>
  <si>
    <t>A234</t>
  </si>
  <si>
    <t>GUINDONES (GRANDE)</t>
  </si>
  <si>
    <t>A235</t>
  </si>
  <si>
    <t>GUINDONES (SIN PEPA)</t>
  </si>
  <si>
    <t>A236</t>
  </si>
  <si>
    <t>higos</t>
  </si>
  <si>
    <t>A237</t>
  </si>
  <si>
    <t>arandanos</t>
  </si>
  <si>
    <t>A238</t>
  </si>
  <si>
    <t>datiles ( NACIONAL)</t>
  </si>
  <si>
    <t>A239</t>
  </si>
  <si>
    <t>datiles ( IMPORTADO)</t>
  </si>
  <si>
    <t>A240</t>
  </si>
  <si>
    <t>datiles ( GLASEADO)</t>
  </si>
  <si>
    <t>A241</t>
  </si>
  <si>
    <t>cereza (DESIDRATADO)</t>
  </si>
  <si>
    <t>A242</t>
  </si>
  <si>
    <t>kiwi (DESIDRATADO)</t>
  </si>
  <si>
    <t>A243</t>
  </si>
  <si>
    <t>naranja (DESIDRATADO)</t>
  </si>
  <si>
    <t>A244</t>
  </si>
  <si>
    <t>piña (DESIDRATADO)</t>
  </si>
  <si>
    <t>A245</t>
  </si>
  <si>
    <t>limon (DESIDRATADO)</t>
  </si>
  <si>
    <t>A246</t>
  </si>
  <si>
    <t xml:space="preserve">manzana (DESIDRATADO) </t>
  </si>
  <si>
    <t>A247</t>
  </si>
  <si>
    <t>fresa (DESIDRATADO)</t>
  </si>
  <si>
    <t>A248</t>
  </si>
  <si>
    <t>mango (DESIDRATADO)</t>
  </si>
  <si>
    <t>A249</t>
  </si>
  <si>
    <t>aguaymanto</t>
  </si>
  <si>
    <t>A250</t>
  </si>
  <si>
    <t>fecula de yuca</t>
  </si>
  <si>
    <t>A251</t>
  </si>
  <si>
    <t>fecula de camote</t>
  </si>
  <si>
    <t>A252</t>
  </si>
  <si>
    <t xml:space="preserve">chuño </t>
  </si>
  <si>
    <t>A253</t>
  </si>
  <si>
    <t>maizena</t>
  </si>
  <si>
    <t>A254</t>
  </si>
  <si>
    <t>sillao (PEKIN)</t>
  </si>
  <si>
    <t>A255</t>
  </si>
  <si>
    <t>sillao (venturin-cuello largo)</t>
  </si>
  <si>
    <t>A256</t>
  </si>
  <si>
    <t>sillao  (venturin-cuello corto)</t>
  </si>
  <si>
    <t>A257</t>
  </si>
  <si>
    <t>sillao (punto verde)</t>
  </si>
  <si>
    <t>A258</t>
  </si>
  <si>
    <t>sillao (punto amarrilo)</t>
  </si>
  <si>
    <t>A259</t>
  </si>
  <si>
    <t>sillao (river DORADO)</t>
  </si>
  <si>
    <t>A260</t>
  </si>
  <si>
    <t>sillao (river PLOMO)</t>
  </si>
  <si>
    <t>A261</t>
  </si>
  <si>
    <t>sillao (la chinita)</t>
  </si>
  <si>
    <t>A262</t>
  </si>
  <si>
    <t>sillao (hon-kon)</t>
  </si>
  <si>
    <t>A263</t>
  </si>
  <si>
    <t>sillao (aji- para 2 so)</t>
  </si>
  <si>
    <t>A264</t>
  </si>
  <si>
    <t>sillao  (ajino- para 3 so))</t>
  </si>
  <si>
    <t>A265</t>
  </si>
  <si>
    <t>sillao (ajino- medio litro)</t>
  </si>
  <si>
    <t>A266</t>
  </si>
  <si>
    <t>sillao (ajino- litro)</t>
  </si>
  <si>
    <t>A267</t>
  </si>
  <si>
    <t>sillao ( ajino- galon)</t>
  </si>
  <si>
    <t>A268</t>
  </si>
  <si>
    <t>sillao (kiko para 1 so)</t>
  </si>
  <si>
    <t>A269</t>
  </si>
  <si>
    <t>sillao (kiko parra 2 so)</t>
  </si>
  <si>
    <t>A270</t>
  </si>
  <si>
    <t>sillao (kiko medio litro)</t>
  </si>
  <si>
    <t>A271</t>
  </si>
  <si>
    <t>sillao ( kiko litro)</t>
  </si>
  <si>
    <t>A272</t>
  </si>
  <si>
    <t>sillao (kiko galon)</t>
  </si>
  <si>
    <t>A273</t>
  </si>
  <si>
    <t>sillao galon punto verde</t>
  </si>
  <si>
    <t>A274</t>
  </si>
  <si>
    <t>sillao galon punto amarrilo</t>
  </si>
  <si>
    <t>A275</t>
  </si>
  <si>
    <t xml:space="preserve">sillao galon river PLOMO </t>
  </si>
  <si>
    <t>A276</t>
  </si>
  <si>
    <t>sillao galon river DORADO</t>
  </si>
  <si>
    <t>A277</t>
  </si>
  <si>
    <t>sillao galon venturin</t>
  </si>
  <si>
    <t>A278</t>
  </si>
  <si>
    <t>vinagre tinto venturin (cuello LARGO)</t>
  </si>
  <si>
    <t>A279</t>
  </si>
  <si>
    <t>vinagre tinto venturin (cuello CORTO)</t>
  </si>
  <si>
    <t>A280</t>
  </si>
  <si>
    <t>vinagre tinto (SOYLA)</t>
  </si>
  <si>
    <t>A281</t>
  </si>
  <si>
    <t>vinagre tinto (VALLE VERDE)</t>
  </si>
  <si>
    <t>A282</t>
  </si>
  <si>
    <t>vinagre tinto (FIRME)</t>
  </si>
  <si>
    <t>A283</t>
  </si>
  <si>
    <t>vinagre tinto (venturo LITRO)</t>
  </si>
  <si>
    <t>A284</t>
  </si>
  <si>
    <t>vinagre tinto (venturo MEDIO LITRO)</t>
  </si>
  <si>
    <t>A285</t>
  </si>
  <si>
    <t>vinagre tinto ( PARA 1 SOL) FIRME</t>
  </si>
  <si>
    <t>A286</t>
  </si>
  <si>
    <t>vinagre tinto ( PARA 1 SOL) MERY</t>
  </si>
  <si>
    <t>A287</t>
  </si>
  <si>
    <t xml:space="preserve">vinagre tinto venturin GALON </t>
  </si>
  <si>
    <t>A288</t>
  </si>
  <si>
    <t>vinagre blanco venturin (cuello LARGO)</t>
  </si>
  <si>
    <t>A289</t>
  </si>
  <si>
    <t>vinagre blanco venturin (cuello CORTO)</t>
  </si>
  <si>
    <t>A290</t>
  </si>
  <si>
    <t>vinagre blanco (SOYLA)</t>
  </si>
  <si>
    <t>A291</t>
  </si>
  <si>
    <t>vinagre blanco (VALLE VERDE)</t>
  </si>
  <si>
    <t>A292</t>
  </si>
  <si>
    <t>vinagre blanco (FIRME)</t>
  </si>
  <si>
    <t>A293</t>
  </si>
  <si>
    <t>vinagre blanco (venturo LITRO)</t>
  </si>
  <si>
    <t>A294</t>
  </si>
  <si>
    <t>vinagre blanco (venturo MEDIO LITRO)</t>
  </si>
  <si>
    <t>A295</t>
  </si>
  <si>
    <t>vinagre blanco ( PARA 1 SOL) FIRME</t>
  </si>
  <si>
    <t>A296</t>
  </si>
  <si>
    <t>vinagre blanco ( PARA 1 SOL) MERY</t>
  </si>
  <si>
    <t>A297</t>
  </si>
  <si>
    <t xml:space="preserve">vinagre blanco venturin GALON </t>
  </si>
  <si>
    <t>A298</t>
  </si>
  <si>
    <t>ostion por DOCENA sobrecitos</t>
  </si>
  <si>
    <t>A299</t>
  </si>
  <si>
    <t>ostion por DOCENA botella</t>
  </si>
  <si>
    <t>A300</t>
  </si>
  <si>
    <t>ostion de botella de vidrio pequeño</t>
  </si>
  <si>
    <t>A301</t>
  </si>
  <si>
    <t>ostion panda</t>
  </si>
  <si>
    <t>A302</t>
  </si>
  <si>
    <t>ostion de botella de vidrio vigote</t>
  </si>
  <si>
    <t>A303</t>
  </si>
  <si>
    <t>ostion galon</t>
  </si>
  <si>
    <t>A304</t>
  </si>
  <si>
    <t>mensi sobrecitos por docena</t>
  </si>
  <si>
    <t>A305</t>
  </si>
  <si>
    <t xml:space="preserve">mensi por docena botella chikito </t>
  </si>
  <si>
    <t>A306</t>
  </si>
  <si>
    <t>mensi por medio kilo en bolsa</t>
  </si>
  <si>
    <t>A307</t>
  </si>
  <si>
    <t>mensi chupon grande en botella</t>
  </si>
  <si>
    <t>A308</t>
  </si>
  <si>
    <t>tausi sobrecitos por docena</t>
  </si>
  <si>
    <t>A309</t>
  </si>
  <si>
    <t xml:space="preserve">tausi por docena botella chikito </t>
  </si>
  <si>
    <t>A310</t>
  </si>
  <si>
    <t>tausi por medio kilo en bolsa</t>
  </si>
  <si>
    <t>A311</t>
  </si>
  <si>
    <t>tausi chupon grande en botella</t>
  </si>
  <si>
    <t>A312</t>
  </si>
  <si>
    <t xml:space="preserve">conserva de durazno </t>
  </si>
  <si>
    <t>A313</t>
  </si>
  <si>
    <t xml:space="preserve">conserva de champiñon </t>
  </si>
  <si>
    <t>A314</t>
  </si>
  <si>
    <t>miel SAENA</t>
  </si>
  <si>
    <t>A315</t>
  </si>
  <si>
    <t xml:space="preserve">algarrobian SAENA </t>
  </si>
  <si>
    <t>A316</t>
  </si>
  <si>
    <t xml:space="preserve">tamarindo masa </t>
  </si>
  <si>
    <t>A317</t>
  </si>
  <si>
    <t xml:space="preserve">tamarindo liquido por docena en botella chikito </t>
  </si>
  <si>
    <t>A318</t>
  </si>
  <si>
    <t>tamarindo botella grande chupon</t>
  </si>
  <si>
    <t>A319</t>
  </si>
  <si>
    <t xml:space="preserve">aceite de ajonjoli por docena sobrecitos </t>
  </si>
  <si>
    <t>A320</t>
  </si>
  <si>
    <t>aceite de ajonjoli por docena en botella chikito</t>
  </si>
  <si>
    <t>A321</t>
  </si>
  <si>
    <t>aceite de ajonjoli bolita</t>
  </si>
  <si>
    <t>A322</t>
  </si>
  <si>
    <t>aceite de ajonjoli cuadrado</t>
  </si>
  <si>
    <t>A323</t>
  </si>
  <si>
    <t>aceite de ajonjoli galon</t>
  </si>
  <si>
    <t>A324</t>
  </si>
  <si>
    <t>aceite de ajonjoli super galon</t>
  </si>
  <si>
    <t>A325</t>
  </si>
  <si>
    <t xml:space="preserve">viangre de manzana pequeño </t>
  </si>
  <si>
    <t>A326</t>
  </si>
  <si>
    <t xml:space="preserve">vinagre de manzana mediano </t>
  </si>
  <si>
    <t>A327</t>
  </si>
  <si>
    <t>vinagre de manzana grande</t>
  </si>
  <si>
    <t>A328</t>
  </si>
  <si>
    <t>chiken power sachet (blanco-gallina)</t>
  </si>
  <si>
    <t>A329</t>
  </si>
  <si>
    <t>chiken power sachet (verde)</t>
  </si>
  <si>
    <t>A330</t>
  </si>
  <si>
    <t>chiken power lata ( blanco-gallina)</t>
  </si>
  <si>
    <t>A331</t>
  </si>
  <si>
    <t>chiken power lata (verde)</t>
  </si>
  <si>
    <t>A332</t>
  </si>
  <si>
    <t xml:space="preserve">fosh chaufa por docena botella peña </t>
  </si>
  <si>
    <t>A333</t>
  </si>
  <si>
    <t xml:space="preserve">fosh lomo por docena botella peña </t>
  </si>
  <si>
    <t>A334</t>
  </si>
  <si>
    <t xml:space="preserve">fosh tallarin saltado por docena botella peña </t>
  </si>
  <si>
    <t>A335</t>
  </si>
  <si>
    <t xml:space="preserve">fosh chaufa  botella  </t>
  </si>
  <si>
    <t>A336</t>
  </si>
  <si>
    <t xml:space="preserve">fosh lomo botella  </t>
  </si>
  <si>
    <t>A337</t>
  </si>
  <si>
    <t xml:space="preserve">fosh tallarin saltado botella  </t>
  </si>
  <si>
    <t>A338</t>
  </si>
  <si>
    <t>salsa jorvic</t>
  </si>
  <si>
    <t>A339</t>
  </si>
  <si>
    <t>salsa inglesa</t>
  </si>
  <si>
    <t>A340</t>
  </si>
  <si>
    <t>adereso para pavo</t>
  </si>
  <si>
    <t>A341</t>
  </si>
  <si>
    <t>adereso para lechon</t>
  </si>
  <si>
    <t>A342</t>
  </si>
  <si>
    <t>adereso para pollo</t>
  </si>
  <si>
    <t>A343</t>
  </si>
  <si>
    <t>adereso para pachamanca</t>
  </si>
  <si>
    <t>A344</t>
  </si>
  <si>
    <t>mayonesa de 1k</t>
  </si>
  <si>
    <t>A345</t>
  </si>
  <si>
    <t>mayoneza de medio kilo</t>
  </si>
  <si>
    <t>A346</t>
  </si>
  <si>
    <t>mayoneza deun cuarto</t>
  </si>
  <si>
    <t>A347</t>
  </si>
  <si>
    <t>mayoneza sachet</t>
  </si>
  <si>
    <t>A348</t>
  </si>
  <si>
    <t>mayoneza personal</t>
  </si>
  <si>
    <t>A349</t>
  </si>
  <si>
    <t>balde de ketsu</t>
  </si>
  <si>
    <t>A350</t>
  </si>
  <si>
    <t xml:space="preserve">balde de mostasa </t>
  </si>
  <si>
    <t>A351</t>
  </si>
  <si>
    <t>oregano lopeza</t>
  </si>
  <si>
    <t>A352</t>
  </si>
  <si>
    <t>lopeza ( tuco-palillo-panca-etc)</t>
  </si>
  <si>
    <t>A353</t>
  </si>
  <si>
    <t>MERI pimienta y comino</t>
  </si>
  <si>
    <t>A354</t>
  </si>
  <si>
    <t>aji colorado liquido en LOPEZA</t>
  </si>
  <si>
    <t>A355</t>
  </si>
  <si>
    <t>aji amarrillin liquido en LOPEZA</t>
  </si>
  <si>
    <t>A356</t>
  </si>
  <si>
    <t>aji colorado liquido en MERI</t>
  </si>
  <si>
    <t>A357</t>
  </si>
  <si>
    <t xml:space="preserve">aji colorado liquido en panquita </t>
  </si>
  <si>
    <t>A358</t>
  </si>
  <si>
    <t>gusta( pollo-casrne-pesacado-etc)</t>
  </si>
  <si>
    <t>A359</t>
  </si>
  <si>
    <t>deli arroz</t>
  </si>
  <si>
    <t>A360</t>
  </si>
  <si>
    <t>chaufa mix</t>
  </si>
  <si>
    <t>A361</t>
  </si>
  <si>
    <t>ablada sazon</t>
  </si>
  <si>
    <t>A362</t>
  </si>
  <si>
    <t>canela china sobresitos</t>
  </si>
  <si>
    <t>A363</t>
  </si>
  <si>
    <t>canela china de 100G</t>
  </si>
  <si>
    <t>A364</t>
  </si>
  <si>
    <t>canela china de 1k</t>
  </si>
  <si>
    <t>A365</t>
  </si>
  <si>
    <t>pimienta blanca sobrecitos</t>
  </si>
  <si>
    <t>A366</t>
  </si>
  <si>
    <t>pimineta blanca 1k</t>
  </si>
  <si>
    <t>A367</t>
  </si>
  <si>
    <t>curry sobrecitos</t>
  </si>
  <si>
    <t>A368</t>
  </si>
  <si>
    <t>chancaca grande</t>
  </si>
  <si>
    <t>A369</t>
  </si>
  <si>
    <t>hongos</t>
  </si>
  <si>
    <t>A370</t>
  </si>
  <si>
    <t>firme botella</t>
  </si>
  <si>
    <t>A371</t>
  </si>
  <si>
    <t>herbi grande</t>
  </si>
  <si>
    <t>A372</t>
  </si>
  <si>
    <t>herbi pequeño</t>
  </si>
  <si>
    <t>A373</t>
  </si>
  <si>
    <t>galleta gourmet</t>
  </si>
  <si>
    <t>A374</t>
  </si>
  <si>
    <t>conserva de piña</t>
  </si>
  <si>
    <t>A375</t>
  </si>
  <si>
    <t>panca molido lopesa liquido</t>
  </si>
  <si>
    <t>A376</t>
  </si>
  <si>
    <t>amarrillin molido lopeza liquido</t>
  </si>
  <si>
    <t>A377</t>
  </si>
  <si>
    <t>aceite de oliva 1L</t>
  </si>
  <si>
    <t>A378</t>
  </si>
  <si>
    <t>aceite de oliva 1/2L</t>
  </si>
  <si>
    <t>A379</t>
  </si>
  <si>
    <t>aceite de oliva 200ml</t>
  </si>
  <si>
    <t>A380</t>
  </si>
  <si>
    <t>esencia de vainilla umsha X12</t>
  </si>
  <si>
    <t>A381</t>
  </si>
  <si>
    <t>esencia de vainilla umsha 1L</t>
  </si>
  <si>
    <t>A382</t>
  </si>
  <si>
    <t>esencia de vainilla negrita X12</t>
  </si>
  <si>
    <t>A383</t>
  </si>
  <si>
    <t>esencia de vainilla negrita 1L</t>
  </si>
  <si>
    <t>A384</t>
  </si>
  <si>
    <t>esencia de vainilla frandori</t>
  </si>
  <si>
    <t>A385</t>
  </si>
  <si>
    <t>esencia de vainilla blanca</t>
  </si>
  <si>
    <t>A386</t>
  </si>
  <si>
    <t xml:space="preserve">wantan con huevo </t>
  </si>
  <si>
    <t>A387</t>
  </si>
  <si>
    <t xml:space="preserve">wantan sin huevo </t>
  </si>
  <si>
    <t>A388</t>
  </si>
  <si>
    <t>BBQ clasica</t>
  </si>
  <si>
    <t>A389</t>
  </si>
  <si>
    <t>BBQ picante</t>
  </si>
  <si>
    <t>A390</t>
  </si>
  <si>
    <t>BBQ hunts pequeño</t>
  </si>
  <si>
    <t>A391</t>
  </si>
  <si>
    <t>BBQ hunts grande</t>
  </si>
  <si>
    <t>A392</t>
  </si>
  <si>
    <t>MERI sivarita</t>
  </si>
  <si>
    <t>A393</t>
  </si>
  <si>
    <t>sal de mesa</t>
  </si>
  <si>
    <t>A394</t>
  </si>
  <si>
    <t xml:space="preserve">sal de cocina </t>
  </si>
  <si>
    <t>A395</t>
  </si>
  <si>
    <t>sal MARINA</t>
  </si>
  <si>
    <t>A396</t>
  </si>
  <si>
    <t>sal de MARAS</t>
  </si>
  <si>
    <t>A397</t>
  </si>
  <si>
    <t>sal ROSADA</t>
  </si>
  <si>
    <t>A398</t>
  </si>
  <si>
    <t>chinchin GRANDE</t>
  </si>
  <si>
    <t>A399</t>
  </si>
  <si>
    <t>chinchin PEQUEÑO</t>
  </si>
  <si>
    <t>A400</t>
  </si>
  <si>
    <t>cocada</t>
  </si>
  <si>
    <t>A401</t>
  </si>
  <si>
    <t>miel delgada</t>
  </si>
  <si>
    <t>A402</t>
  </si>
  <si>
    <t>algarrobina delgada</t>
  </si>
  <si>
    <t>A403</t>
  </si>
  <si>
    <t>h. alpiste</t>
  </si>
  <si>
    <t>A404</t>
  </si>
  <si>
    <t>tapioca</t>
  </si>
  <si>
    <t>A405</t>
  </si>
  <si>
    <t>fariña</t>
  </si>
  <si>
    <t>A406</t>
  </si>
  <si>
    <t>h. coca</t>
  </si>
  <si>
    <t>A407</t>
  </si>
  <si>
    <t>vino tinto ( FRANDORI )</t>
  </si>
  <si>
    <t>A408</t>
  </si>
  <si>
    <t>vino blanco ( FRANDORI )</t>
  </si>
  <si>
    <t>A409</t>
  </si>
  <si>
    <t>oporto ( FRANDORI )</t>
  </si>
  <si>
    <t>A410</t>
  </si>
  <si>
    <t>vino abuelo</t>
  </si>
  <si>
    <t>A411</t>
  </si>
  <si>
    <t>vino tinto ( BORGOÑA)</t>
  </si>
  <si>
    <t>A412</t>
  </si>
  <si>
    <t>vino blanco ( BORGOÑA)</t>
  </si>
  <si>
    <t>A413</t>
  </si>
  <si>
    <t>coñac</t>
  </si>
  <si>
    <t>A414</t>
  </si>
  <si>
    <t>pisco</t>
  </si>
  <si>
    <t>A415</t>
  </si>
  <si>
    <t>puro</t>
  </si>
  <si>
    <t>A416</t>
  </si>
  <si>
    <t>anizado</t>
  </si>
  <si>
    <t>A417</t>
  </si>
  <si>
    <t>vinagre de arroz</t>
  </si>
  <si>
    <t>A418</t>
  </si>
  <si>
    <t>emoliente</t>
  </si>
  <si>
    <t>A419</t>
  </si>
  <si>
    <t>camaron</t>
  </si>
  <si>
    <t>A420</t>
  </si>
  <si>
    <t>langostino</t>
  </si>
  <si>
    <t>A421</t>
  </si>
  <si>
    <t>kiwicha pop</t>
  </si>
  <si>
    <t>A422</t>
  </si>
  <si>
    <t>quinua pop</t>
  </si>
  <si>
    <t>A423</t>
  </si>
  <si>
    <t>cañihua pop</t>
  </si>
  <si>
    <t>A424</t>
  </si>
  <si>
    <t>trigo pop</t>
  </si>
  <si>
    <t>A425</t>
  </si>
  <si>
    <t>nuez moscada</t>
  </si>
  <si>
    <t>A426</t>
  </si>
  <si>
    <t>achote entero</t>
  </si>
  <si>
    <t>A427</t>
  </si>
  <si>
    <t>achote molido</t>
  </si>
  <si>
    <t>A428</t>
  </si>
  <si>
    <t>colapiz</t>
  </si>
  <si>
    <t>A429</t>
  </si>
  <si>
    <t>levadura</t>
  </si>
  <si>
    <t>A430</t>
  </si>
  <si>
    <t>estavilizador</t>
  </si>
  <si>
    <t>A431</t>
  </si>
  <si>
    <t>ajinomoto envasado de (1 SOL)</t>
  </si>
  <si>
    <t>A432</t>
  </si>
  <si>
    <t>ajinomoto envasado de (1.5)</t>
  </si>
  <si>
    <t>A433</t>
  </si>
  <si>
    <t>ajinomoto envasado de ( 0.50)</t>
  </si>
  <si>
    <t>A434</t>
  </si>
  <si>
    <t>ajinomoto envasado de ( PLANCHITA)</t>
  </si>
  <si>
    <t>A435</t>
  </si>
  <si>
    <t>ajinomoto envasado de ( 1 Kg )</t>
  </si>
  <si>
    <t>A436</t>
  </si>
  <si>
    <t>ajinomoto envasado de ( 1/2 Kg)</t>
  </si>
  <si>
    <t>A437</t>
  </si>
  <si>
    <t>ajinomoto envasado de ( 1/4 Kg)</t>
  </si>
  <si>
    <t>A438</t>
  </si>
  <si>
    <t>togarashi</t>
  </si>
  <si>
    <t>A439</t>
  </si>
  <si>
    <t>paliyuca en ROSCA</t>
  </si>
  <si>
    <t>A440</t>
  </si>
  <si>
    <t>palito de yucas delgada</t>
  </si>
  <si>
    <t>A441</t>
  </si>
  <si>
    <t>paliyuca gruesa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</si>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</sst>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S/&quot;\ #,##0.00"/>
  </numFmts>
  <fonts count="4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00FF00"/>
        <bgColor rgb="FF00FF00"/>
      </patternFill>
    </fill>
    <fill>
      <patternFill patternType="solid">
        <fgColor rgb="FFB45F06"/>
        <bgColor rgb="FFB45F06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theme="8"/>
        <bgColor theme="8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2" fillId="2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2" numFmtId="0" xfId="0" applyBorder="1" applyFont="1"/>
    <xf borderId="2" fillId="2" fontId="1" numFmtId="164" xfId="0" applyAlignment="1" applyBorder="1" applyFont="1" applyNumberFormat="1">
      <alignment horizontal="center" vertical="center"/>
    </xf>
    <xf borderId="5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wrapText="1"/>
    </xf>
    <xf borderId="2" fillId="3" fontId="1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shrinkToFit="0" vertical="center" wrapText="1"/>
    </xf>
    <xf borderId="0" fillId="5" fontId="3" numFmtId="0" xfId="0" applyAlignment="1" applyFill="1" applyFont="1">
      <alignment horizontal="center" readingOrder="0" shrinkToFit="0" textRotation="0" vertical="center" wrapText="1"/>
    </xf>
    <xf borderId="2" fillId="6" fontId="1" numFmtId="0" xfId="0" applyAlignment="1" applyBorder="1" applyFill="1" applyFont="1">
      <alignment horizontal="center" vertical="center"/>
    </xf>
    <xf borderId="2" fillId="6" fontId="1" numFmtId="0" xfId="0" applyBorder="1" applyFont="1"/>
    <xf borderId="2" fillId="6" fontId="1" numFmtId="0" xfId="0" applyAlignment="1" applyBorder="1" applyFont="1">
      <alignment horizontal="center" readingOrder="0" vertical="center"/>
    </xf>
    <xf borderId="2" fillId="6" fontId="1" numFmtId="164" xfId="0" applyAlignment="1" applyBorder="1" applyFont="1" applyNumberFormat="1">
      <alignment horizontal="center" vertical="center"/>
    </xf>
    <xf borderId="2" fillId="6" fontId="1" numFmtId="164" xfId="0" applyAlignment="1" applyBorder="1" applyFont="1" applyNumberFormat="1">
      <alignment horizontal="center" readingOrder="0" vertical="center"/>
    </xf>
    <xf borderId="0" fillId="0" fontId="3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2" fillId="5" fontId="1" numFmtId="0" xfId="0" applyBorder="1" applyFont="1"/>
    <xf borderId="2" fillId="5" fontId="1" numFmtId="0" xfId="0" applyAlignment="1" applyBorder="1" applyFont="1">
      <alignment horizontal="center" vertical="center"/>
    </xf>
    <xf borderId="2" fillId="5" fontId="1" numFmtId="164" xfId="0" applyAlignment="1" applyBorder="1" applyFont="1" applyNumberFormat="1">
      <alignment horizontal="center" vertical="center"/>
    </xf>
    <xf borderId="2" fillId="3" fontId="1" numFmtId="0" xfId="0" applyBorder="1" applyFont="1"/>
    <xf borderId="2" fillId="3" fontId="1" numFmtId="0" xfId="0" applyAlignment="1" applyBorder="1" applyFont="1">
      <alignment horizontal="center" readingOrder="0" vertical="center"/>
    </xf>
    <xf borderId="2" fillId="3" fontId="1" numFmtId="164" xfId="0" applyAlignment="1" applyBorder="1" applyFont="1" applyNumberFormat="1">
      <alignment horizontal="center" vertical="center"/>
    </xf>
    <xf borderId="2" fillId="3" fontId="1" numFmtId="164" xfId="0" applyAlignment="1" applyBorder="1" applyFont="1" applyNumberFormat="1">
      <alignment horizontal="center" readingOrder="0" vertical="center"/>
    </xf>
    <xf borderId="2" fillId="7" fontId="1" numFmtId="0" xfId="0" applyBorder="1" applyFill="1" applyFont="1"/>
    <xf borderId="2" fillId="7" fontId="1" numFmtId="0" xfId="0" applyAlignment="1" applyBorder="1" applyFont="1">
      <alignment horizontal="center" vertical="center"/>
    </xf>
    <xf borderId="2" fillId="7" fontId="1" numFmtId="164" xfId="0" applyAlignment="1" applyBorder="1" applyFont="1" applyNumberFormat="1">
      <alignment horizontal="center" vertical="center"/>
    </xf>
    <xf borderId="2" fillId="6" fontId="1" numFmtId="0" xfId="0" applyAlignment="1" applyBorder="1" applyFont="1">
      <alignment readingOrder="0"/>
    </xf>
    <xf borderId="2" fillId="5" fontId="1" numFmtId="0" xfId="0" applyAlignment="1" applyBorder="1" applyFont="1">
      <alignment horizontal="center" readingOrder="0" vertical="center"/>
    </xf>
    <xf borderId="0" fillId="5" fontId="3" numFmtId="0" xfId="0" applyFont="1"/>
    <xf borderId="0" fillId="5" fontId="3" numFmtId="0" xfId="0" applyAlignment="1" applyFont="1">
      <alignment horizontal="center"/>
    </xf>
    <xf borderId="2" fillId="8" fontId="1" numFmtId="0" xfId="0" applyBorder="1" applyFill="1" applyFont="1"/>
    <xf borderId="2" fillId="8" fontId="1" numFmtId="0" xfId="0" applyAlignment="1" applyBorder="1" applyFont="1">
      <alignment horizontal="center" readingOrder="0" vertical="center"/>
    </xf>
    <xf borderId="2" fillId="8" fontId="1" numFmtId="164" xfId="0" applyAlignment="1" applyBorder="1" applyFont="1" applyNumberFormat="1">
      <alignment horizontal="center" vertical="center"/>
    </xf>
    <xf borderId="2" fillId="8" fontId="1" numFmtId="164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readingOrder="0"/>
    </xf>
    <xf borderId="2" fillId="9" fontId="1" numFmtId="0" xfId="0" applyAlignment="1" applyBorder="1" applyFill="1" applyFont="1">
      <alignment horizontal="center" vertical="center"/>
    </xf>
    <xf borderId="2" fillId="9" fontId="1" numFmtId="0" xfId="0" applyBorder="1" applyFont="1"/>
    <xf borderId="2" fillId="9" fontId="1" numFmtId="0" xfId="0" applyAlignment="1" applyBorder="1" applyFont="1">
      <alignment horizontal="center" readingOrder="0" vertical="center"/>
    </xf>
    <xf borderId="2" fillId="9" fontId="1" numFmtId="164" xfId="0" applyAlignment="1" applyBorder="1" applyFont="1" applyNumberFormat="1">
      <alignment horizontal="center" vertical="center"/>
    </xf>
    <xf borderId="2" fillId="9" fontId="1" numFmtId="164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2" fillId="0" fontId="1" numFmtId="0" xfId="0" applyBorder="1" applyFont="1"/>
    <xf borderId="2" fillId="10" fontId="1" numFmtId="0" xfId="0" applyAlignment="1" applyBorder="1" applyFill="1" applyFon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2" fillId="10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34.71"/>
    <col customWidth="1" min="3" max="3" width="11.0"/>
    <col customWidth="1" min="4" max="8" width="13.14"/>
    <col customWidth="1" min="9" max="26" width="10.71"/>
  </cols>
  <sheetData>
    <row r="2">
      <c r="A2" s="1" t="s">
        <v>0</v>
      </c>
      <c r="B2" s="2" t="s">
        <v>1</v>
      </c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1" t="s">
        <v>2</v>
      </c>
      <c r="B4" s="3" t="str">
        <f t="array" ref="B4">INDEX(A9:A449, MATCH("*"&amp;B2&amp;"*", B9:B449, 0))</f>
        <v>#N/A</v>
      </c>
      <c r="C4" s="1"/>
      <c r="D4" s="4" t="s">
        <v>3</v>
      </c>
      <c r="E4" s="5"/>
      <c r="F4" s="6" t="str">
        <f>VLOOKUP("*"&amp;B2&amp;"*", B9:G449, 5, FALSE)</f>
        <v>#N/A</v>
      </c>
    </row>
    <row r="5">
      <c r="A5" s="1" t="s">
        <v>4</v>
      </c>
      <c r="B5" s="3" t="str">
        <f>VLOOKUP("*"&amp;B2&amp;"*", B9:G449, 2, FALSE)</f>
        <v>#N/A</v>
      </c>
      <c r="C5" s="1"/>
      <c r="D5" s="4" t="s">
        <v>5</v>
      </c>
      <c r="E5" s="5"/>
      <c r="F5" s="6" t="str">
        <f>VLOOKUP("*"&amp;B2&amp;"*", B9:G449, 6, FALSE)</f>
        <v>#N/A</v>
      </c>
    </row>
    <row r="7">
      <c r="A7" s="4" t="s">
        <v>6</v>
      </c>
      <c r="B7" s="7"/>
      <c r="C7" s="7"/>
      <c r="D7" s="7"/>
      <c r="E7" s="7"/>
      <c r="F7" s="7"/>
      <c r="G7" s="7"/>
      <c r="H7" s="5"/>
    </row>
    <row r="8" ht="48.0" customHeight="1">
      <c r="A8" s="8" t="s">
        <v>2</v>
      </c>
      <c r="B8" s="9" t="s">
        <v>7</v>
      </c>
      <c r="C8" s="8" t="s">
        <v>4</v>
      </c>
      <c r="D8" s="8" t="s">
        <v>8</v>
      </c>
      <c r="E8" s="8" t="s">
        <v>9</v>
      </c>
      <c r="F8" s="10" t="s">
        <v>3</v>
      </c>
      <c r="G8" s="11" t="s">
        <v>5</v>
      </c>
      <c r="H8" s="8" t="s">
        <v>10</v>
      </c>
      <c r="J8" s="12" t="s">
        <v>11</v>
      </c>
    </row>
    <row r="9">
      <c r="A9" s="13" t="s">
        <v>12</v>
      </c>
      <c r="B9" s="14" t="s">
        <v>13</v>
      </c>
      <c r="C9" s="15">
        <v>50.0</v>
      </c>
      <c r="D9" s="16">
        <f t="shared" ref="D9:D550" si="1">E9/C9</f>
        <v>3.5</v>
      </c>
      <c r="E9" s="17">
        <v>175.0</v>
      </c>
      <c r="F9" s="16">
        <f>D9*1.43</f>
        <v>5.005</v>
      </c>
      <c r="G9" s="16">
        <f>E9*1.3</f>
        <v>227.5</v>
      </c>
      <c r="H9" s="16">
        <f t="shared" ref="H9:H550" si="2">G9/C9</f>
        <v>4.55</v>
      </c>
      <c r="I9" s="18">
        <f t="shared" ref="I9:I145" si="3">COUNTIF(B9:B449,B9)</f>
        <v>1</v>
      </c>
      <c r="J9" s="19">
        <v>6.0</v>
      </c>
    </row>
    <row r="10">
      <c r="A10" s="13" t="s">
        <v>14</v>
      </c>
      <c r="B10" s="14" t="s">
        <v>15</v>
      </c>
      <c r="C10" s="13">
        <v>50.0</v>
      </c>
      <c r="D10" s="16">
        <f t="shared" si="1"/>
        <v>4.5</v>
      </c>
      <c r="E10" s="17">
        <v>225.0</v>
      </c>
      <c r="F10" s="16">
        <f>D10*1.11</f>
        <v>4.995</v>
      </c>
      <c r="G10" s="16">
        <f>E10*1.1</f>
        <v>247.5</v>
      </c>
      <c r="H10" s="16">
        <f t="shared" si="2"/>
        <v>4.95</v>
      </c>
      <c r="I10" s="18">
        <f t="shared" si="3"/>
        <v>1</v>
      </c>
      <c r="J10" s="19">
        <v>6.0</v>
      </c>
    </row>
    <row r="11">
      <c r="A11" s="13" t="s">
        <v>16</v>
      </c>
      <c r="B11" s="14" t="s">
        <v>17</v>
      </c>
      <c r="C11" s="13">
        <v>50.0</v>
      </c>
      <c r="D11" s="16">
        <f t="shared" si="1"/>
        <v>7</v>
      </c>
      <c r="E11" s="17">
        <v>350.0</v>
      </c>
      <c r="F11" s="16">
        <f>D11*1.43</f>
        <v>10.01</v>
      </c>
      <c r="G11" s="16">
        <f>E11*1.3</f>
        <v>455</v>
      </c>
      <c r="H11" s="16">
        <f t="shared" si="2"/>
        <v>9.1</v>
      </c>
      <c r="I11" s="18">
        <f t="shared" si="3"/>
        <v>1</v>
      </c>
      <c r="J11" s="19">
        <v>12.0</v>
      </c>
    </row>
    <row r="12">
      <c r="A12" s="13" t="s">
        <v>18</v>
      </c>
      <c r="B12" s="14" t="s">
        <v>19</v>
      </c>
      <c r="C12" s="15">
        <v>50.0</v>
      </c>
      <c r="D12" s="16">
        <f t="shared" si="1"/>
        <v>6.5</v>
      </c>
      <c r="E12" s="17">
        <v>325.0</v>
      </c>
      <c r="F12" s="16">
        <f>D12*1.39</f>
        <v>9.035</v>
      </c>
      <c r="G12" s="16">
        <f>E12*1.25</f>
        <v>406.25</v>
      </c>
      <c r="H12" s="16">
        <f t="shared" si="2"/>
        <v>8.125</v>
      </c>
      <c r="I12" s="18">
        <f t="shared" si="3"/>
        <v>1</v>
      </c>
      <c r="J12" s="19">
        <v>12.0</v>
      </c>
    </row>
    <row r="13">
      <c r="A13" s="13" t="s">
        <v>20</v>
      </c>
      <c r="B13" s="14" t="s">
        <v>21</v>
      </c>
      <c r="C13" s="15">
        <v>50.0</v>
      </c>
      <c r="D13" s="16">
        <f t="shared" si="1"/>
        <v>6</v>
      </c>
      <c r="E13" s="17">
        <v>300.0</v>
      </c>
      <c r="F13" s="16">
        <f t="shared" ref="F13:F14" si="4">D13*1.17</f>
        <v>7.02</v>
      </c>
      <c r="G13" s="16">
        <f t="shared" ref="G13:G14" si="5">E13*1.13</f>
        <v>339</v>
      </c>
      <c r="H13" s="16">
        <f t="shared" si="2"/>
        <v>6.78</v>
      </c>
      <c r="I13" s="18">
        <f t="shared" si="3"/>
        <v>1</v>
      </c>
      <c r="J13" s="19">
        <v>8.0</v>
      </c>
    </row>
    <row r="14">
      <c r="A14" s="13" t="s">
        <v>22</v>
      </c>
      <c r="B14" s="14" t="s">
        <v>23</v>
      </c>
      <c r="C14" s="15">
        <v>50.0</v>
      </c>
      <c r="D14" s="16">
        <f t="shared" si="1"/>
        <v>6</v>
      </c>
      <c r="E14" s="17">
        <v>300.0</v>
      </c>
      <c r="F14" s="16">
        <f t="shared" si="4"/>
        <v>7.02</v>
      </c>
      <c r="G14" s="16">
        <f t="shared" si="5"/>
        <v>339</v>
      </c>
      <c r="H14" s="16">
        <f t="shared" si="2"/>
        <v>6.78</v>
      </c>
      <c r="I14" s="18">
        <f t="shared" si="3"/>
        <v>1</v>
      </c>
      <c r="J14" s="19">
        <v>8.0</v>
      </c>
    </row>
    <row r="15">
      <c r="A15" s="13" t="s">
        <v>24</v>
      </c>
      <c r="B15" s="14" t="s">
        <v>25</v>
      </c>
      <c r="C15" s="15">
        <v>50.0</v>
      </c>
      <c r="D15" s="16">
        <f t="shared" si="1"/>
        <v>5</v>
      </c>
      <c r="E15" s="17">
        <v>250.0</v>
      </c>
      <c r="F15" s="16">
        <f>D15*1.16</f>
        <v>5.8</v>
      </c>
      <c r="G15" s="16">
        <f>E15*1.1</f>
        <v>275</v>
      </c>
      <c r="H15" s="16">
        <f t="shared" si="2"/>
        <v>5.5</v>
      </c>
      <c r="I15" s="18">
        <f t="shared" si="3"/>
        <v>1</v>
      </c>
      <c r="J15" s="19">
        <v>6.0</v>
      </c>
    </row>
    <row r="16">
      <c r="A16" s="13" t="s">
        <v>26</v>
      </c>
      <c r="B16" s="14" t="s">
        <v>27</v>
      </c>
      <c r="C16" s="15">
        <v>50.0</v>
      </c>
      <c r="D16" s="16">
        <f t="shared" si="1"/>
        <v>4</v>
      </c>
      <c r="E16" s="17">
        <v>200.0</v>
      </c>
      <c r="F16" s="16">
        <f t="shared" ref="F16:F17" si="6">D16*1.25</f>
        <v>5</v>
      </c>
      <c r="G16" s="16">
        <f t="shared" ref="G16:G18" si="7">E16*1.2</f>
        <v>240</v>
      </c>
      <c r="H16" s="16">
        <f t="shared" si="2"/>
        <v>4.8</v>
      </c>
      <c r="I16" s="18">
        <f t="shared" si="3"/>
        <v>1</v>
      </c>
      <c r="J16" s="19">
        <v>6.0</v>
      </c>
    </row>
    <row r="17">
      <c r="A17" s="13" t="s">
        <v>28</v>
      </c>
      <c r="B17" s="14" t="s">
        <v>29</v>
      </c>
      <c r="C17" s="15">
        <v>50.0</v>
      </c>
      <c r="D17" s="16">
        <f t="shared" si="1"/>
        <v>4</v>
      </c>
      <c r="E17" s="17">
        <v>200.0</v>
      </c>
      <c r="F17" s="16">
        <f t="shared" si="6"/>
        <v>5</v>
      </c>
      <c r="G17" s="16">
        <f t="shared" si="7"/>
        <v>240</v>
      </c>
      <c r="H17" s="16">
        <f t="shared" si="2"/>
        <v>4.8</v>
      </c>
      <c r="I17" s="18">
        <f t="shared" si="3"/>
        <v>1</v>
      </c>
      <c r="J17" s="19">
        <v>6.0</v>
      </c>
    </row>
    <row r="18">
      <c r="A18" s="13" t="s">
        <v>30</v>
      </c>
      <c r="B18" s="14" t="s">
        <v>31</v>
      </c>
      <c r="C18" s="15">
        <v>50.0</v>
      </c>
      <c r="D18" s="16">
        <f t="shared" si="1"/>
        <v>3.5</v>
      </c>
      <c r="E18" s="17">
        <v>175.0</v>
      </c>
      <c r="F18" s="16">
        <f>D18*1.3</f>
        <v>4.55</v>
      </c>
      <c r="G18" s="16">
        <f t="shared" si="7"/>
        <v>210</v>
      </c>
      <c r="H18" s="16">
        <f t="shared" si="2"/>
        <v>4.2</v>
      </c>
      <c r="I18" s="18">
        <f t="shared" si="3"/>
        <v>1</v>
      </c>
      <c r="J18" s="19">
        <v>5.0</v>
      </c>
    </row>
    <row r="19">
      <c r="A19" s="13" t="s">
        <v>32</v>
      </c>
      <c r="B19" s="14" t="s">
        <v>33</v>
      </c>
      <c r="C19" s="15">
        <v>50.0</v>
      </c>
      <c r="D19" s="16">
        <f t="shared" si="1"/>
        <v>2.5</v>
      </c>
      <c r="E19" s="17">
        <v>125.0</v>
      </c>
      <c r="F19" s="16">
        <f>D19*1.2</f>
        <v>3</v>
      </c>
      <c r="G19" s="16">
        <f>E19*1.12</f>
        <v>140</v>
      </c>
      <c r="H19" s="16">
        <f t="shared" si="2"/>
        <v>2.8</v>
      </c>
      <c r="I19" s="18">
        <f t="shared" si="3"/>
        <v>1</v>
      </c>
      <c r="J19" s="19">
        <v>3.0</v>
      </c>
    </row>
    <row r="20">
      <c r="A20" s="13" t="s">
        <v>34</v>
      </c>
      <c r="B20" s="14" t="s">
        <v>35</v>
      </c>
      <c r="C20" s="15">
        <v>20.0</v>
      </c>
      <c r="D20" s="16">
        <f t="shared" si="1"/>
        <v>10.3</v>
      </c>
      <c r="E20" s="17">
        <v>206.0</v>
      </c>
      <c r="F20" s="16">
        <f>D20*1.36</f>
        <v>14.008</v>
      </c>
      <c r="G20" s="16">
        <f>E20*1.17</f>
        <v>241.02</v>
      </c>
      <c r="H20" s="16">
        <f t="shared" si="2"/>
        <v>12.051</v>
      </c>
      <c r="I20" s="18">
        <f t="shared" si="3"/>
        <v>1</v>
      </c>
      <c r="J20" s="19">
        <v>20.0</v>
      </c>
    </row>
    <row r="21" ht="15.75" customHeight="1">
      <c r="A21" s="13" t="s">
        <v>36</v>
      </c>
      <c r="B21" s="14" t="s">
        <v>37</v>
      </c>
      <c r="C21" s="15">
        <v>50.0</v>
      </c>
      <c r="D21" s="16">
        <f t="shared" si="1"/>
        <v>4.5</v>
      </c>
      <c r="E21" s="17">
        <v>225.0</v>
      </c>
      <c r="F21" s="16">
        <f>D21*1.33</f>
        <v>5.985</v>
      </c>
      <c r="G21" s="16">
        <f>E21*1.2</f>
        <v>270</v>
      </c>
      <c r="H21" s="16">
        <f t="shared" si="2"/>
        <v>5.4</v>
      </c>
      <c r="I21" s="18">
        <f t="shared" si="3"/>
        <v>1</v>
      </c>
      <c r="J21" s="19">
        <v>8.0</v>
      </c>
    </row>
    <row r="22" ht="15.75" customHeight="1">
      <c r="A22" s="13" t="s">
        <v>38</v>
      </c>
      <c r="B22" s="14" t="s">
        <v>39</v>
      </c>
      <c r="C22" s="15">
        <v>50.0</v>
      </c>
      <c r="D22" s="16">
        <f t="shared" si="1"/>
        <v>9</v>
      </c>
      <c r="E22" s="17">
        <v>450.0</v>
      </c>
      <c r="F22" s="16">
        <f t="shared" ref="F22:F23" si="8">D22*1.333</f>
        <v>11.997</v>
      </c>
      <c r="G22" s="16">
        <f t="shared" ref="G22:G23" si="9">E22*1.167</f>
        <v>525.15</v>
      </c>
      <c r="H22" s="16">
        <f t="shared" si="2"/>
        <v>10.503</v>
      </c>
      <c r="I22" s="18">
        <f t="shared" si="3"/>
        <v>1</v>
      </c>
      <c r="J22" s="19">
        <v>12.0</v>
      </c>
    </row>
    <row r="23" ht="15.75" customHeight="1">
      <c r="A23" s="13" t="s">
        <v>40</v>
      </c>
      <c r="B23" s="14" t="s">
        <v>41</v>
      </c>
      <c r="C23" s="15">
        <v>50.0</v>
      </c>
      <c r="D23" s="16">
        <f t="shared" si="1"/>
        <v>9</v>
      </c>
      <c r="E23" s="17">
        <v>450.0</v>
      </c>
      <c r="F23" s="16">
        <f t="shared" si="8"/>
        <v>11.997</v>
      </c>
      <c r="G23" s="16">
        <f t="shared" si="9"/>
        <v>525.15</v>
      </c>
      <c r="H23" s="16">
        <f t="shared" si="2"/>
        <v>10.503</v>
      </c>
      <c r="I23" s="18">
        <f t="shared" si="3"/>
        <v>1</v>
      </c>
      <c r="J23" s="19">
        <v>12.0</v>
      </c>
    </row>
    <row r="24" ht="15.75" customHeight="1">
      <c r="A24" s="13" t="s">
        <v>42</v>
      </c>
      <c r="B24" s="14" t="s">
        <v>43</v>
      </c>
      <c r="C24" s="15">
        <v>20.0</v>
      </c>
      <c r="D24" s="16">
        <f t="shared" si="1"/>
        <v>8</v>
      </c>
      <c r="E24" s="17">
        <v>160.0</v>
      </c>
      <c r="F24" s="16">
        <f>D24*1.5</f>
        <v>12</v>
      </c>
      <c r="G24" s="16">
        <f>E24*1.25</f>
        <v>200</v>
      </c>
      <c r="H24" s="16">
        <f t="shared" si="2"/>
        <v>10</v>
      </c>
      <c r="I24" s="18">
        <f t="shared" si="3"/>
        <v>1</v>
      </c>
      <c r="J24" s="20"/>
    </row>
    <row r="25" ht="15.75" customHeight="1">
      <c r="A25" s="13" t="s">
        <v>44</v>
      </c>
      <c r="B25" s="14" t="s">
        <v>45</v>
      </c>
      <c r="C25" s="15">
        <v>50.0</v>
      </c>
      <c r="D25" s="16">
        <f t="shared" si="1"/>
        <v>6</v>
      </c>
      <c r="E25" s="17">
        <v>300.0</v>
      </c>
      <c r="F25" s="16">
        <f>D25*1.334</f>
        <v>8.004</v>
      </c>
      <c r="G25" s="16">
        <f>E25*1.19</f>
        <v>357</v>
      </c>
      <c r="H25" s="16">
        <f t="shared" si="2"/>
        <v>7.14</v>
      </c>
      <c r="I25" s="18">
        <f t="shared" si="3"/>
        <v>1</v>
      </c>
      <c r="J25" s="19">
        <v>10.0</v>
      </c>
    </row>
    <row r="26" ht="15.75" customHeight="1">
      <c r="A26" s="13" t="s">
        <v>46</v>
      </c>
      <c r="B26" s="14" t="s">
        <v>47</v>
      </c>
      <c r="C26" s="15">
        <v>10.0</v>
      </c>
      <c r="D26" s="16">
        <f t="shared" si="1"/>
        <v>18</v>
      </c>
      <c r="E26" s="17">
        <v>180.0</v>
      </c>
      <c r="F26" s="16">
        <f t="shared" ref="F26:F27" si="10">D26*1.278</f>
        <v>23.004</v>
      </c>
      <c r="G26" s="16">
        <f t="shared" ref="G26:G27" si="11">E26*1.195</f>
        <v>215.1</v>
      </c>
      <c r="H26" s="16">
        <f t="shared" si="2"/>
        <v>21.51</v>
      </c>
      <c r="I26" s="18">
        <f t="shared" si="3"/>
        <v>1</v>
      </c>
      <c r="J26" s="19" t="s">
        <v>48</v>
      </c>
    </row>
    <row r="27" ht="15.75" customHeight="1">
      <c r="A27" s="13" t="s">
        <v>49</v>
      </c>
      <c r="B27" s="14" t="s">
        <v>50</v>
      </c>
      <c r="C27" s="15">
        <v>10.0</v>
      </c>
      <c r="D27" s="16">
        <f t="shared" si="1"/>
        <v>18</v>
      </c>
      <c r="E27" s="17">
        <v>180.0</v>
      </c>
      <c r="F27" s="16">
        <f t="shared" si="10"/>
        <v>23.004</v>
      </c>
      <c r="G27" s="16">
        <f t="shared" si="11"/>
        <v>215.1</v>
      </c>
      <c r="H27" s="16">
        <f t="shared" si="2"/>
        <v>21.51</v>
      </c>
      <c r="I27" s="18">
        <f t="shared" si="3"/>
        <v>1</v>
      </c>
      <c r="J27" s="19" t="s">
        <v>51</v>
      </c>
    </row>
    <row r="28" ht="15.75" customHeight="1">
      <c r="A28" s="13" t="s">
        <v>52</v>
      </c>
      <c r="B28" s="14" t="s">
        <v>53</v>
      </c>
      <c r="C28" s="15">
        <v>20.0</v>
      </c>
      <c r="D28" s="16">
        <f t="shared" si="1"/>
        <v>8.5</v>
      </c>
      <c r="E28" s="17">
        <v>170.0</v>
      </c>
      <c r="F28" s="16">
        <f>D28*1.647</f>
        <v>13.9995</v>
      </c>
      <c r="G28" s="16">
        <f>E28*1.412</f>
        <v>240.04</v>
      </c>
      <c r="H28" s="16">
        <f t="shared" si="2"/>
        <v>12.002</v>
      </c>
      <c r="I28" s="18">
        <f t="shared" si="3"/>
        <v>1</v>
      </c>
      <c r="J28" s="19" t="s">
        <v>54</v>
      </c>
    </row>
    <row r="29" ht="15.75" customHeight="1">
      <c r="A29" s="13" t="s">
        <v>55</v>
      </c>
      <c r="B29" s="14" t="s">
        <v>56</v>
      </c>
      <c r="C29" s="15">
        <v>50.0</v>
      </c>
      <c r="D29" s="16">
        <f t="shared" si="1"/>
        <v>13</v>
      </c>
      <c r="E29" s="17">
        <v>650.0</v>
      </c>
      <c r="F29" s="16">
        <f>D29*1.308</f>
        <v>17.004</v>
      </c>
      <c r="G29" s="16">
        <f>E29*1.154</f>
        <v>750.1</v>
      </c>
      <c r="H29" s="16">
        <f t="shared" si="2"/>
        <v>15.002</v>
      </c>
      <c r="I29" s="18">
        <f t="shared" si="3"/>
        <v>1</v>
      </c>
      <c r="J29" s="19" t="s">
        <v>57</v>
      </c>
    </row>
    <row r="30" ht="15.75" customHeight="1">
      <c r="A30" s="13" t="s">
        <v>58</v>
      </c>
      <c r="B30" s="14" t="s">
        <v>59</v>
      </c>
      <c r="C30" s="15">
        <v>50.0</v>
      </c>
      <c r="D30" s="16">
        <f t="shared" si="1"/>
        <v>15</v>
      </c>
      <c r="E30" s="17">
        <v>750.0</v>
      </c>
      <c r="F30" s="16">
        <f>D30*1.2</f>
        <v>18</v>
      </c>
      <c r="G30" s="16">
        <f>E30*1.1334</f>
        <v>850.05</v>
      </c>
      <c r="H30" s="16">
        <f t="shared" si="2"/>
        <v>17.001</v>
      </c>
      <c r="I30" s="18">
        <f t="shared" si="3"/>
        <v>1</v>
      </c>
      <c r="J30" s="19" t="s">
        <v>54</v>
      </c>
    </row>
    <row r="31" ht="15.75" customHeight="1">
      <c r="A31" s="13" t="s">
        <v>60</v>
      </c>
      <c r="B31" s="14" t="s">
        <v>61</v>
      </c>
      <c r="C31" s="15">
        <v>10.0</v>
      </c>
      <c r="D31" s="16">
        <f t="shared" si="1"/>
        <v>12</v>
      </c>
      <c r="E31" s="17">
        <v>120.0</v>
      </c>
      <c r="F31" s="16">
        <f>D31*1.333</f>
        <v>15.996</v>
      </c>
      <c r="G31" s="16">
        <f>E31*1.208</f>
        <v>144.96</v>
      </c>
      <c r="H31" s="16">
        <f t="shared" si="2"/>
        <v>14.496</v>
      </c>
      <c r="I31" s="18">
        <f t="shared" si="3"/>
        <v>1</v>
      </c>
      <c r="J31" s="19" t="s">
        <v>57</v>
      </c>
    </row>
    <row r="32" ht="15.75" customHeight="1">
      <c r="A32" s="13" t="s">
        <v>62</v>
      </c>
      <c r="B32" s="14" t="s">
        <v>63</v>
      </c>
      <c r="C32" s="15">
        <v>10.0</v>
      </c>
      <c r="D32" s="16">
        <f t="shared" si="1"/>
        <v>10</v>
      </c>
      <c r="E32" s="17">
        <v>100.0</v>
      </c>
      <c r="F32" s="16">
        <f>D32*1.5</f>
        <v>15</v>
      </c>
      <c r="G32" s="16">
        <f>E32*1.2</f>
        <v>120</v>
      </c>
      <c r="H32" s="16">
        <f t="shared" si="2"/>
        <v>12</v>
      </c>
      <c r="I32" s="18">
        <f t="shared" si="3"/>
        <v>1</v>
      </c>
      <c r="J32" s="19" t="s">
        <v>57</v>
      </c>
    </row>
    <row r="33" ht="15.75" customHeight="1">
      <c r="A33" s="13" t="s">
        <v>64</v>
      </c>
      <c r="B33" s="14" t="s">
        <v>65</v>
      </c>
      <c r="C33" s="15">
        <v>2.0</v>
      </c>
      <c r="D33" s="16">
        <f t="shared" si="1"/>
        <v>40</v>
      </c>
      <c r="E33" s="17">
        <v>80.0</v>
      </c>
      <c r="F33" s="16">
        <f>D33*1.15</f>
        <v>46</v>
      </c>
      <c r="G33" s="16">
        <f>E33*1.1</f>
        <v>88</v>
      </c>
      <c r="H33" s="16">
        <f t="shared" si="2"/>
        <v>44</v>
      </c>
      <c r="I33" s="18">
        <f t="shared" si="3"/>
        <v>1</v>
      </c>
      <c r="J33" s="19" t="s">
        <v>66</v>
      </c>
    </row>
    <row r="34" ht="15.75" customHeight="1">
      <c r="A34" s="13" t="s">
        <v>67</v>
      </c>
      <c r="B34" s="14" t="s">
        <v>68</v>
      </c>
      <c r="C34" s="15">
        <v>20.0</v>
      </c>
      <c r="D34" s="16">
        <f t="shared" si="1"/>
        <v>17</v>
      </c>
      <c r="E34" s="17">
        <v>340.0</v>
      </c>
      <c r="F34" s="16">
        <f t="shared" ref="F34:G34" si="12">D34*1.059</f>
        <v>18.003</v>
      </c>
      <c r="G34" s="16">
        <f t="shared" si="12"/>
        <v>360.06</v>
      </c>
      <c r="H34" s="16">
        <f t="shared" si="2"/>
        <v>18.003</v>
      </c>
      <c r="I34" s="18">
        <f t="shared" si="3"/>
        <v>1</v>
      </c>
      <c r="J34" s="19">
        <v>20.0</v>
      </c>
    </row>
    <row r="35" ht="15.75" customHeight="1">
      <c r="A35" s="13" t="s">
        <v>69</v>
      </c>
      <c r="B35" s="14" t="s">
        <v>70</v>
      </c>
      <c r="C35" s="15">
        <v>20.0</v>
      </c>
      <c r="D35" s="16">
        <f t="shared" si="1"/>
        <v>17</v>
      </c>
      <c r="E35" s="17">
        <v>340.0</v>
      </c>
      <c r="F35" s="16">
        <f t="shared" ref="F35:G35" si="13">D35*1.059</f>
        <v>18.003</v>
      </c>
      <c r="G35" s="16">
        <f t="shared" si="13"/>
        <v>360.06</v>
      </c>
      <c r="H35" s="16">
        <f t="shared" si="2"/>
        <v>18.003</v>
      </c>
      <c r="I35" s="18">
        <f t="shared" si="3"/>
        <v>1</v>
      </c>
      <c r="J35" s="19">
        <v>20.0</v>
      </c>
    </row>
    <row r="36" ht="15.75" customHeight="1">
      <c r="A36" s="13" t="s">
        <v>71</v>
      </c>
      <c r="B36" s="14" t="s">
        <v>72</v>
      </c>
      <c r="C36" s="15">
        <v>50.0</v>
      </c>
      <c r="D36" s="16">
        <f t="shared" si="1"/>
        <v>4</v>
      </c>
      <c r="E36" s="17">
        <v>200.0</v>
      </c>
      <c r="F36" s="16">
        <f>D36*1.5</f>
        <v>6</v>
      </c>
      <c r="G36" s="16">
        <f>E36*1.25</f>
        <v>250</v>
      </c>
      <c r="H36" s="16">
        <f t="shared" si="2"/>
        <v>5</v>
      </c>
      <c r="I36" s="18">
        <f t="shared" si="3"/>
        <v>1</v>
      </c>
      <c r="J36" s="19" t="s">
        <v>73</v>
      </c>
    </row>
    <row r="37" ht="15.75" customHeight="1">
      <c r="A37" s="13" t="s">
        <v>74</v>
      </c>
      <c r="B37" s="14" t="s">
        <v>75</v>
      </c>
      <c r="C37" s="15">
        <v>50.0</v>
      </c>
      <c r="D37" s="16">
        <f t="shared" si="1"/>
        <v>6</v>
      </c>
      <c r="E37" s="17">
        <v>300.0</v>
      </c>
      <c r="F37" s="16">
        <f>D37*1.334</f>
        <v>8.004</v>
      </c>
      <c r="G37" s="16">
        <f>E37*1.167</f>
        <v>350.1</v>
      </c>
      <c r="H37" s="16">
        <f t="shared" si="2"/>
        <v>7.002</v>
      </c>
      <c r="I37" s="18">
        <f t="shared" si="3"/>
        <v>1</v>
      </c>
      <c r="J37" s="19">
        <v>8.0</v>
      </c>
    </row>
    <row r="38" ht="15.75" customHeight="1">
      <c r="A38" s="13" t="s">
        <v>76</v>
      </c>
      <c r="B38" s="14" t="s">
        <v>77</v>
      </c>
      <c r="C38" s="15">
        <v>50.0</v>
      </c>
      <c r="D38" s="16">
        <f t="shared" si="1"/>
        <v>3.5</v>
      </c>
      <c r="E38" s="17">
        <v>175.0</v>
      </c>
      <c r="F38" s="16">
        <f>D38*1.428</f>
        <v>4.998</v>
      </c>
      <c r="G38" s="16">
        <f>E38*1.287</f>
        <v>225.225</v>
      </c>
      <c r="H38" s="16">
        <f t="shared" si="2"/>
        <v>4.5045</v>
      </c>
      <c r="I38" s="18">
        <f t="shared" si="3"/>
        <v>1</v>
      </c>
      <c r="J38" s="19" t="s">
        <v>78</v>
      </c>
    </row>
    <row r="39" ht="15.75" customHeight="1">
      <c r="A39" s="13" t="s">
        <v>79</v>
      </c>
      <c r="B39" s="21" t="s">
        <v>80</v>
      </c>
      <c r="C39" s="22">
        <v>1.0</v>
      </c>
      <c r="D39" s="23">
        <f t="shared" si="1"/>
        <v>0</v>
      </c>
      <c r="E39" s="23">
        <v>0.0</v>
      </c>
      <c r="F39" s="23">
        <f>D39*1.8</f>
        <v>0</v>
      </c>
      <c r="G39" s="23">
        <f t="shared" ref="G39:G40" si="14">E39*1.5</f>
        <v>0</v>
      </c>
      <c r="H39" s="23">
        <f t="shared" si="2"/>
        <v>0</v>
      </c>
      <c r="I39" s="18">
        <f t="shared" si="3"/>
        <v>1</v>
      </c>
      <c r="J39" s="19" t="s">
        <v>81</v>
      </c>
    </row>
    <row r="40" ht="15.75" customHeight="1">
      <c r="A40" s="13" t="s">
        <v>82</v>
      </c>
      <c r="B40" s="14" t="s">
        <v>83</v>
      </c>
      <c r="C40" s="15">
        <v>5.0</v>
      </c>
      <c r="D40" s="16">
        <f t="shared" si="1"/>
        <v>2</v>
      </c>
      <c r="E40" s="17">
        <v>10.0</v>
      </c>
      <c r="F40" s="16">
        <f>D40*1.99999</f>
        <v>3.99998</v>
      </c>
      <c r="G40" s="16">
        <f t="shared" si="14"/>
        <v>15</v>
      </c>
      <c r="H40" s="16">
        <f t="shared" si="2"/>
        <v>3</v>
      </c>
      <c r="I40" s="18">
        <f t="shared" si="3"/>
        <v>1</v>
      </c>
      <c r="J40" s="19">
        <v>6.0</v>
      </c>
    </row>
    <row r="41" ht="15.75" customHeight="1">
      <c r="A41" s="13" t="s">
        <v>84</v>
      </c>
      <c r="B41" s="14" t="s">
        <v>85</v>
      </c>
      <c r="C41" s="15">
        <v>10.0</v>
      </c>
      <c r="D41" s="16">
        <f t="shared" si="1"/>
        <v>4.3</v>
      </c>
      <c r="E41" s="17">
        <v>43.0</v>
      </c>
      <c r="F41" s="16">
        <f>D41*1.396</f>
        <v>6.0028</v>
      </c>
      <c r="G41" s="16">
        <f>E41*1.21</f>
        <v>52.03</v>
      </c>
      <c r="H41" s="16">
        <f t="shared" si="2"/>
        <v>5.203</v>
      </c>
      <c r="I41" s="18">
        <f t="shared" si="3"/>
        <v>1</v>
      </c>
      <c r="J41" s="19">
        <v>8.0</v>
      </c>
    </row>
    <row r="42" ht="15.75" customHeight="1">
      <c r="A42" s="13" t="s">
        <v>86</v>
      </c>
      <c r="B42" s="14" t="s">
        <v>87</v>
      </c>
      <c r="C42" s="15">
        <v>20.0</v>
      </c>
      <c r="D42" s="16">
        <f t="shared" si="1"/>
        <v>16</v>
      </c>
      <c r="E42" s="17">
        <v>320.0</v>
      </c>
      <c r="F42" s="16">
        <f>D42*1.125</f>
        <v>18</v>
      </c>
      <c r="G42" s="16">
        <f>E42*1.094</f>
        <v>350.08</v>
      </c>
      <c r="H42" s="16">
        <f t="shared" si="2"/>
        <v>17.504</v>
      </c>
      <c r="I42" s="18">
        <f t="shared" si="3"/>
        <v>1</v>
      </c>
      <c r="J42" s="19">
        <v>20.0</v>
      </c>
    </row>
    <row r="43" ht="15.75" customHeight="1">
      <c r="A43" s="13" t="s">
        <v>88</v>
      </c>
      <c r="B43" s="14" t="s">
        <v>89</v>
      </c>
      <c r="C43" s="15">
        <v>5.0</v>
      </c>
      <c r="D43" s="16">
        <f t="shared" si="1"/>
        <v>8</v>
      </c>
      <c r="E43" s="17">
        <v>40.0</v>
      </c>
      <c r="F43" s="16">
        <f>D43*1.25</f>
        <v>10</v>
      </c>
      <c r="G43" s="16">
        <f>E43*1.188</f>
        <v>47.52</v>
      </c>
      <c r="H43" s="16">
        <f t="shared" si="2"/>
        <v>9.504</v>
      </c>
      <c r="I43" s="18">
        <f t="shared" si="3"/>
        <v>1</v>
      </c>
      <c r="J43" s="19">
        <v>14.0</v>
      </c>
    </row>
    <row r="44" ht="15.75" customHeight="1">
      <c r="A44" s="13" t="s">
        <v>90</v>
      </c>
      <c r="B44" s="14" t="s">
        <v>91</v>
      </c>
      <c r="C44" s="15">
        <v>10.0</v>
      </c>
      <c r="D44" s="16">
        <f t="shared" si="1"/>
        <v>32</v>
      </c>
      <c r="E44" s="17">
        <v>320.0</v>
      </c>
      <c r="F44" s="16">
        <f>D44*1.1</f>
        <v>35.2</v>
      </c>
      <c r="G44" s="16">
        <f>E44*1.062359</f>
        <v>339.95488</v>
      </c>
      <c r="H44" s="16">
        <f t="shared" si="2"/>
        <v>33.995488</v>
      </c>
      <c r="I44" s="18">
        <f t="shared" si="3"/>
        <v>1</v>
      </c>
      <c r="J44" s="19">
        <v>40.0</v>
      </c>
    </row>
    <row r="45" ht="15.75" customHeight="1">
      <c r="A45" s="13" t="s">
        <v>92</v>
      </c>
      <c r="B45" s="14" t="s">
        <v>93</v>
      </c>
      <c r="C45" s="15">
        <v>10.0</v>
      </c>
      <c r="D45" s="16">
        <f t="shared" si="1"/>
        <v>10</v>
      </c>
      <c r="E45" s="17">
        <v>100.0</v>
      </c>
      <c r="F45" s="16">
        <f>D45*1.3</f>
        <v>13</v>
      </c>
      <c r="G45" s="16">
        <f>E45*1.2</f>
        <v>120</v>
      </c>
      <c r="H45" s="16">
        <f t="shared" si="2"/>
        <v>12</v>
      </c>
      <c r="I45" s="18">
        <f t="shared" si="3"/>
        <v>1</v>
      </c>
      <c r="J45" s="19">
        <v>20.0</v>
      </c>
    </row>
    <row r="46" ht="15.75" customHeight="1">
      <c r="A46" s="13" t="s">
        <v>94</v>
      </c>
      <c r="B46" s="14" t="s">
        <v>95</v>
      </c>
      <c r="C46" s="15">
        <v>20.0</v>
      </c>
      <c r="D46" s="16">
        <f t="shared" si="1"/>
        <v>8</v>
      </c>
      <c r="E46" s="17">
        <v>160.0</v>
      </c>
      <c r="F46" s="16">
        <f>D46*1.312</f>
        <v>10.496</v>
      </c>
      <c r="G46" s="16">
        <f>E46*1.188</f>
        <v>190.08</v>
      </c>
      <c r="H46" s="16">
        <f t="shared" si="2"/>
        <v>9.504</v>
      </c>
      <c r="I46" s="18">
        <f t="shared" si="3"/>
        <v>1</v>
      </c>
      <c r="J46" s="19">
        <v>14.0</v>
      </c>
    </row>
    <row r="47" ht="15.75" customHeight="1">
      <c r="A47" s="13" t="s">
        <v>96</v>
      </c>
      <c r="B47" s="14" t="s">
        <v>97</v>
      </c>
      <c r="C47" s="15">
        <v>10.0</v>
      </c>
      <c r="D47" s="16">
        <f t="shared" si="1"/>
        <v>10</v>
      </c>
      <c r="E47" s="17">
        <v>100.0</v>
      </c>
      <c r="F47" s="16">
        <f>D47*1.3</f>
        <v>13</v>
      </c>
      <c r="G47" s="16">
        <f>E47*1.2</f>
        <v>120</v>
      </c>
      <c r="H47" s="16">
        <f t="shared" si="2"/>
        <v>12</v>
      </c>
      <c r="I47" s="18">
        <f t="shared" si="3"/>
        <v>1</v>
      </c>
      <c r="J47" s="19">
        <v>20.0</v>
      </c>
    </row>
    <row r="48" ht="15.75" customHeight="1">
      <c r="A48" s="13" t="s">
        <v>98</v>
      </c>
      <c r="B48" s="24" t="s">
        <v>99</v>
      </c>
      <c r="C48" s="25">
        <v>25.0</v>
      </c>
      <c r="D48" s="26">
        <f t="shared" si="1"/>
        <v>4.6</v>
      </c>
      <c r="E48" s="27">
        <v>115.0</v>
      </c>
      <c r="F48" s="26">
        <f t="shared" ref="F48:G48" si="15">D48*1.088</f>
        <v>5.0048</v>
      </c>
      <c r="G48" s="26">
        <f t="shared" si="15"/>
        <v>125.12</v>
      </c>
      <c r="H48" s="26">
        <f t="shared" si="2"/>
        <v>5.0048</v>
      </c>
      <c r="I48" s="18">
        <f t="shared" si="3"/>
        <v>1</v>
      </c>
      <c r="J48" s="19">
        <v>6.0</v>
      </c>
    </row>
    <row r="49" ht="15.75" customHeight="1">
      <c r="A49" s="13" t="s">
        <v>100</v>
      </c>
      <c r="B49" s="24" t="s">
        <v>101</v>
      </c>
      <c r="C49" s="25">
        <v>25.0</v>
      </c>
      <c r="D49" s="26">
        <f t="shared" si="1"/>
        <v>4.6</v>
      </c>
      <c r="E49" s="27">
        <v>115.0</v>
      </c>
      <c r="F49" s="26">
        <f t="shared" ref="F49:G49" si="16">D49*1.088</f>
        <v>5.0048</v>
      </c>
      <c r="G49" s="26">
        <f t="shared" si="16"/>
        <v>125.12</v>
      </c>
      <c r="H49" s="26">
        <f t="shared" si="2"/>
        <v>5.0048</v>
      </c>
      <c r="I49" s="18">
        <f t="shared" si="3"/>
        <v>1</v>
      </c>
      <c r="J49" s="19">
        <v>6.0</v>
      </c>
    </row>
    <row r="50" ht="15.75" customHeight="1">
      <c r="A50" s="13" t="s">
        <v>102</v>
      </c>
      <c r="B50" s="14" t="s">
        <v>103</v>
      </c>
      <c r="C50" s="15">
        <v>50.0</v>
      </c>
      <c r="D50" s="16">
        <f t="shared" si="1"/>
        <v>8.5</v>
      </c>
      <c r="E50" s="17">
        <v>425.0</v>
      </c>
      <c r="F50" s="16">
        <f>D50*1.294</f>
        <v>10.999</v>
      </c>
      <c r="G50" s="16">
        <f>E50*1.176</f>
        <v>499.8</v>
      </c>
      <c r="H50" s="16">
        <f t="shared" si="2"/>
        <v>9.996</v>
      </c>
      <c r="I50" s="18">
        <f t="shared" si="3"/>
        <v>1</v>
      </c>
      <c r="J50" s="19" t="s">
        <v>104</v>
      </c>
    </row>
    <row r="51" ht="15.75" customHeight="1">
      <c r="A51" s="13" t="s">
        <v>105</v>
      </c>
      <c r="B51" s="14" t="s">
        <v>106</v>
      </c>
      <c r="C51" s="15">
        <v>30.0</v>
      </c>
      <c r="D51" s="16">
        <f t="shared" si="1"/>
        <v>12</v>
      </c>
      <c r="E51" s="17">
        <v>360.0</v>
      </c>
      <c r="F51" s="16">
        <f>D51*1.25</f>
        <v>15</v>
      </c>
      <c r="G51" s="16">
        <f>E51*1.125</f>
        <v>405</v>
      </c>
      <c r="H51" s="16">
        <f t="shared" si="2"/>
        <v>13.5</v>
      </c>
      <c r="I51" s="18">
        <f t="shared" si="3"/>
        <v>1</v>
      </c>
      <c r="J51" s="19">
        <v>20.0</v>
      </c>
    </row>
    <row r="52" ht="15.75" customHeight="1">
      <c r="A52" s="13" t="s">
        <v>107</v>
      </c>
      <c r="B52" s="28" t="s">
        <v>108</v>
      </c>
      <c r="C52" s="29">
        <v>1.0</v>
      </c>
      <c r="D52" s="30">
        <f t="shared" si="1"/>
        <v>0</v>
      </c>
      <c r="E52" s="30">
        <v>0.0</v>
      </c>
      <c r="F52" s="30">
        <f t="shared" ref="F52:F53" si="17">D52*1.8</f>
        <v>0</v>
      </c>
      <c r="G52" s="30">
        <f t="shared" ref="G52:G53" si="18">E52*1.5</f>
        <v>0</v>
      </c>
      <c r="H52" s="30">
        <f t="shared" si="2"/>
        <v>0</v>
      </c>
      <c r="I52" s="18">
        <f t="shared" si="3"/>
        <v>1</v>
      </c>
      <c r="J52" s="20"/>
    </row>
    <row r="53" ht="15.75" customHeight="1">
      <c r="A53" s="13" t="s">
        <v>109</v>
      </c>
      <c r="B53" s="28" t="s">
        <v>110</v>
      </c>
      <c r="C53" s="29">
        <v>1.0</v>
      </c>
      <c r="D53" s="30">
        <f t="shared" si="1"/>
        <v>0</v>
      </c>
      <c r="E53" s="30">
        <v>0.0</v>
      </c>
      <c r="F53" s="30">
        <f t="shared" si="17"/>
        <v>0</v>
      </c>
      <c r="G53" s="30">
        <f t="shared" si="18"/>
        <v>0</v>
      </c>
      <c r="H53" s="30">
        <f t="shared" si="2"/>
        <v>0</v>
      </c>
      <c r="I53" s="18">
        <f t="shared" si="3"/>
        <v>1</v>
      </c>
      <c r="J53" s="20"/>
    </row>
    <row r="54" ht="15.75" customHeight="1">
      <c r="A54" s="13" t="s">
        <v>111</v>
      </c>
      <c r="B54" s="31" t="s">
        <v>112</v>
      </c>
      <c r="C54" s="15">
        <v>10.0</v>
      </c>
      <c r="D54" s="16">
        <f t="shared" si="1"/>
        <v>17</v>
      </c>
      <c r="E54" s="17">
        <v>170.0</v>
      </c>
      <c r="F54" s="16">
        <f>D54*1.1766</f>
        <v>20.0022</v>
      </c>
      <c r="G54" s="16">
        <f>E54*1.088</f>
        <v>184.96</v>
      </c>
      <c r="H54" s="16">
        <f t="shared" si="2"/>
        <v>18.496</v>
      </c>
      <c r="I54" s="18">
        <f t="shared" si="3"/>
        <v>1</v>
      </c>
      <c r="J54" s="19" t="s">
        <v>113</v>
      </c>
    </row>
    <row r="55" ht="15.75" customHeight="1">
      <c r="A55" s="13" t="s">
        <v>114</v>
      </c>
      <c r="B55" s="14" t="s">
        <v>115</v>
      </c>
      <c r="C55" s="15">
        <v>5.0</v>
      </c>
      <c r="D55" s="16">
        <f t="shared" si="1"/>
        <v>30</v>
      </c>
      <c r="E55" s="17">
        <v>150.0</v>
      </c>
      <c r="F55" s="16">
        <f>D55*1.3333</f>
        <v>39.999</v>
      </c>
      <c r="G55" s="16">
        <f>E55*1.1667</f>
        <v>175.005</v>
      </c>
      <c r="H55" s="16">
        <f t="shared" si="2"/>
        <v>35.001</v>
      </c>
      <c r="I55" s="18">
        <f t="shared" si="3"/>
        <v>1</v>
      </c>
      <c r="J55" s="19">
        <v>50.0</v>
      </c>
    </row>
    <row r="56" ht="15.75" customHeight="1">
      <c r="A56" s="13" t="s">
        <v>116</v>
      </c>
      <c r="B56" s="14" t="s">
        <v>117</v>
      </c>
      <c r="C56" s="15">
        <v>25.0</v>
      </c>
      <c r="D56" s="16">
        <f t="shared" si="1"/>
        <v>4.6</v>
      </c>
      <c r="E56" s="17">
        <v>115.0</v>
      </c>
      <c r="F56" s="16">
        <f>D56*1.63</f>
        <v>7.498</v>
      </c>
      <c r="G56" s="16">
        <f>E56*1.2174</f>
        <v>140.001</v>
      </c>
      <c r="H56" s="16">
        <f t="shared" si="2"/>
        <v>5.60004</v>
      </c>
      <c r="I56" s="18">
        <f t="shared" si="3"/>
        <v>1</v>
      </c>
      <c r="J56" s="19">
        <v>12.0</v>
      </c>
    </row>
    <row r="57" ht="15.75" customHeight="1">
      <c r="A57" s="13" t="s">
        <v>118</v>
      </c>
      <c r="B57" s="14" t="s">
        <v>119</v>
      </c>
      <c r="C57" s="15">
        <v>25.0</v>
      </c>
      <c r="D57" s="16">
        <f t="shared" si="1"/>
        <v>3.9</v>
      </c>
      <c r="E57" s="17">
        <v>97.5</v>
      </c>
      <c r="F57" s="16">
        <f>D57*1.281</f>
        <v>4.9959</v>
      </c>
      <c r="G57" s="16">
        <f>E57*1.2564</f>
        <v>122.499</v>
      </c>
      <c r="H57" s="16">
        <f t="shared" si="2"/>
        <v>4.89996</v>
      </c>
      <c r="I57" s="18">
        <f t="shared" si="3"/>
        <v>1</v>
      </c>
      <c r="J57" s="19">
        <v>6.0</v>
      </c>
    </row>
    <row r="58" ht="15.75" customHeight="1">
      <c r="A58" s="13" t="s">
        <v>120</v>
      </c>
      <c r="B58" s="14" t="s">
        <v>121</v>
      </c>
      <c r="C58" s="15">
        <v>20.0</v>
      </c>
      <c r="D58" s="16">
        <f t="shared" si="1"/>
        <v>6</v>
      </c>
      <c r="E58" s="17">
        <v>120.0</v>
      </c>
      <c r="F58" s="16">
        <f>D58*1.666</f>
        <v>9.996</v>
      </c>
      <c r="G58" s="16">
        <f>E58*1.334</f>
        <v>160.08</v>
      </c>
      <c r="H58" s="16">
        <f t="shared" si="2"/>
        <v>8.004</v>
      </c>
      <c r="I58" s="18">
        <f t="shared" si="3"/>
        <v>1</v>
      </c>
      <c r="J58" s="19">
        <v>12.0</v>
      </c>
    </row>
    <row r="59" ht="15.75" customHeight="1">
      <c r="A59" s="13" t="s">
        <v>122</v>
      </c>
      <c r="B59" s="14" t="s">
        <v>123</v>
      </c>
      <c r="C59" s="15">
        <v>25.0</v>
      </c>
      <c r="D59" s="16">
        <f t="shared" si="1"/>
        <v>4.5</v>
      </c>
      <c r="E59" s="17">
        <v>112.5</v>
      </c>
      <c r="F59" s="16">
        <f>D59*1.333</f>
        <v>5.9985</v>
      </c>
      <c r="G59" s="16">
        <f>E59*1.2222</f>
        <v>137.4975</v>
      </c>
      <c r="H59" s="16">
        <f t="shared" si="2"/>
        <v>5.4999</v>
      </c>
      <c r="I59" s="18">
        <f t="shared" si="3"/>
        <v>1</v>
      </c>
      <c r="J59" s="19">
        <v>7.0</v>
      </c>
    </row>
    <row r="60" ht="15.75" customHeight="1">
      <c r="A60" s="13" t="s">
        <v>124</v>
      </c>
      <c r="B60" s="14" t="s">
        <v>125</v>
      </c>
      <c r="C60" s="15">
        <v>50.0</v>
      </c>
      <c r="D60" s="16">
        <f t="shared" si="1"/>
        <v>2.7</v>
      </c>
      <c r="E60" s="17">
        <v>135.0</v>
      </c>
      <c r="F60" s="16">
        <f>D60*1.48</f>
        <v>3.996</v>
      </c>
      <c r="G60" s="16">
        <f>E60*1.371</f>
        <v>185.085</v>
      </c>
      <c r="H60" s="16">
        <f t="shared" si="2"/>
        <v>3.7017</v>
      </c>
      <c r="I60" s="18">
        <f t="shared" si="3"/>
        <v>1</v>
      </c>
      <c r="J60" s="19">
        <v>5.0</v>
      </c>
    </row>
    <row r="61" ht="15.75" customHeight="1">
      <c r="A61" s="13" t="s">
        <v>126</v>
      </c>
      <c r="B61" s="14" t="s">
        <v>127</v>
      </c>
      <c r="C61" s="15">
        <v>45.0</v>
      </c>
      <c r="D61" s="16">
        <f t="shared" si="1"/>
        <v>3.2</v>
      </c>
      <c r="E61" s="17">
        <v>144.0</v>
      </c>
      <c r="F61" s="16">
        <f>D61*1.561</f>
        <v>4.9952</v>
      </c>
      <c r="G61" s="16">
        <f>E61*1.3333</f>
        <v>191.9952</v>
      </c>
      <c r="H61" s="16">
        <f t="shared" si="2"/>
        <v>4.26656</v>
      </c>
      <c r="I61" s="18">
        <f t="shared" si="3"/>
        <v>1</v>
      </c>
      <c r="J61" s="19">
        <v>6.0</v>
      </c>
    </row>
    <row r="62" ht="15.75" customHeight="1">
      <c r="A62" s="13" t="s">
        <v>128</v>
      </c>
      <c r="B62" s="14" t="s">
        <v>129</v>
      </c>
      <c r="C62" s="15">
        <v>45.0</v>
      </c>
      <c r="D62" s="16">
        <f t="shared" si="1"/>
        <v>3.244444444</v>
      </c>
      <c r="E62" s="17">
        <v>146.0</v>
      </c>
      <c r="F62" s="16">
        <f>D62*1.54</f>
        <v>4.996444444</v>
      </c>
      <c r="G62" s="16">
        <f>E62*1.3356</f>
        <v>194.9976</v>
      </c>
      <c r="H62" s="16">
        <f t="shared" si="2"/>
        <v>4.33328</v>
      </c>
      <c r="I62" s="18">
        <f t="shared" si="3"/>
        <v>1</v>
      </c>
      <c r="J62" s="19">
        <v>6.0</v>
      </c>
    </row>
    <row r="63" ht="15.75" customHeight="1">
      <c r="A63" s="13" t="s">
        <v>130</v>
      </c>
      <c r="B63" s="14" t="s">
        <v>131</v>
      </c>
      <c r="C63" s="15">
        <v>45.0</v>
      </c>
      <c r="D63" s="16">
        <f t="shared" si="1"/>
        <v>3.222222222</v>
      </c>
      <c r="E63" s="17">
        <v>145.0</v>
      </c>
      <c r="F63" s="16">
        <f>D63*1.553</f>
        <v>5.004111111</v>
      </c>
      <c r="G63" s="16">
        <f>E63*1.345</f>
        <v>195.025</v>
      </c>
      <c r="H63" s="16">
        <f t="shared" si="2"/>
        <v>4.333888889</v>
      </c>
      <c r="I63" s="18">
        <f t="shared" si="3"/>
        <v>1</v>
      </c>
      <c r="J63" s="19">
        <v>6.0</v>
      </c>
    </row>
    <row r="64" ht="15.75" customHeight="1">
      <c r="A64" s="13" t="s">
        <v>132</v>
      </c>
      <c r="B64" s="14" t="s">
        <v>133</v>
      </c>
      <c r="C64" s="15">
        <v>50.0</v>
      </c>
      <c r="D64" s="16">
        <f t="shared" si="1"/>
        <v>4.3</v>
      </c>
      <c r="E64" s="17">
        <v>215.0</v>
      </c>
      <c r="F64" s="16">
        <f t="shared" ref="F64:F65" si="19">D64*1.395</f>
        <v>5.9985</v>
      </c>
      <c r="G64" s="16">
        <f t="shared" ref="G64:G65" si="20">E64*1.23255</f>
        <v>264.99825</v>
      </c>
      <c r="H64" s="16">
        <f t="shared" si="2"/>
        <v>5.299965</v>
      </c>
      <c r="I64" s="18">
        <f t="shared" si="3"/>
        <v>1</v>
      </c>
      <c r="J64" s="19">
        <v>6.0</v>
      </c>
    </row>
    <row r="65" ht="15.75" customHeight="1">
      <c r="A65" s="13" t="s">
        <v>134</v>
      </c>
      <c r="B65" s="14" t="s">
        <v>135</v>
      </c>
      <c r="C65" s="15">
        <v>50.0</v>
      </c>
      <c r="D65" s="16">
        <f t="shared" si="1"/>
        <v>4.3</v>
      </c>
      <c r="E65" s="17">
        <v>215.0</v>
      </c>
      <c r="F65" s="16">
        <f t="shared" si="19"/>
        <v>5.9985</v>
      </c>
      <c r="G65" s="16">
        <f t="shared" si="20"/>
        <v>264.99825</v>
      </c>
      <c r="H65" s="16">
        <f t="shared" si="2"/>
        <v>5.299965</v>
      </c>
      <c r="I65" s="18">
        <f t="shared" si="3"/>
        <v>1</v>
      </c>
      <c r="J65" s="19">
        <v>6.0</v>
      </c>
    </row>
    <row r="66" ht="15.75" customHeight="1">
      <c r="A66" s="13" t="s">
        <v>136</v>
      </c>
      <c r="B66" s="14" t="s">
        <v>137</v>
      </c>
      <c r="C66" s="15">
        <v>25.0</v>
      </c>
      <c r="D66" s="16">
        <f t="shared" si="1"/>
        <v>4.5</v>
      </c>
      <c r="E66" s="17">
        <v>112.5</v>
      </c>
      <c r="F66" s="16">
        <f>D66*1.333</f>
        <v>5.9985</v>
      </c>
      <c r="G66" s="16">
        <f>E66*1.2222</f>
        <v>137.4975</v>
      </c>
      <c r="H66" s="16">
        <f t="shared" si="2"/>
        <v>5.4999</v>
      </c>
      <c r="I66" s="18">
        <f t="shared" si="3"/>
        <v>1</v>
      </c>
      <c r="J66" s="19">
        <v>6.0</v>
      </c>
    </row>
    <row r="67" ht="15.75" customHeight="1">
      <c r="A67" s="13" t="s">
        <v>138</v>
      </c>
      <c r="B67" s="14" t="s">
        <v>139</v>
      </c>
      <c r="C67" s="15">
        <v>50.0</v>
      </c>
      <c r="D67" s="16">
        <f t="shared" si="1"/>
        <v>3.4</v>
      </c>
      <c r="E67" s="17">
        <v>170.0</v>
      </c>
      <c r="F67" s="16">
        <f>D67*1.47</f>
        <v>4.998</v>
      </c>
      <c r="G67" s="16">
        <f>E67*1.2941</f>
        <v>219.997</v>
      </c>
      <c r="H67" s="16">
        <f t="shared" si="2"/>
        <v>4.39994</v>
      </c>
      <c r="I67" s="18">
        <f t="shared" si="3"/>
        <v>1</v>
      </c>
      <c r="J67" s="19">
        <v>6.0</v>
      </c>
    </row>
    <row r="68" ht="15.75" customHeight="1">
      <c r="A68" s="13" t="s">
        <v>140</v>
      </c>
      <c r="B68" s="14" t="s">
        <v>141</v>
      </c>
      <c r="C68" s="15">
        <v>25.0</v>
      </c>
      <c r="D68" s="16">
        <f t="shared" si="1"/>
        <v>4</v>
      </c>
      <c r="E68" s="17">
        <v>100.0</v>
      </c>
      <c r="F68" s="16">
        <f>D68*1.376</f>
        <v>5.504</v>
      </c>
      <c r="G68" s="16">
        <f>E68*1.25</f>
        <v>125</v>
      </c>
      <c r="H68" s="16">
        <f t="shared" si="2"/>
        <v>5</v>
      </c>
      <c r="I68" s="18">
        <f t="shared" si="3"/>
        <v>1</v>
      </c>
      <c r="J68" s="19">
        <v>6.0</v>
      </c>
    </row>
    <row r="69" ht="15.75" customHeight="1">
      <c r="A69" s="13" t="s">
        <v>142</v>
      </c>
      <c r="B69" s="24" t="s">
        <v>143</v>
      </c>
      <c r="C69" s="25">
        <v>50.0</v>
      </c>
      <c r="D69" s="26">
        <f t="shared" si="1"/>
        <v>6</v>
      </c>
      <c r="E69" s="27">
        <v>300.0</v>
      </c>
      <c r="F69" s="26">
        <f>D69*1.166</f>
        <v>6.996</v>
      </c>
      <c r="G69" s="26">
        <f>E69*1.16666</f>
        <v>349.998</v>
      </c>
      <c r="H69" s="26">
        <f t="shared" si="2"/>
        <v>6.99996</v>
      </c>
      <c r="I69" s="18">
        <f t="shared" si="3"/>
        <v>1</v>
      </c>
      <c r="J69" s="19">
        <v>8.0</v>
      </c>
    </row>
    <row r="70" ht="15.75" customHeight="1">
      <c r="A70" s="13" t="s">
        <v>144</v>
      </c>
      <c r="B70" s="14" t="s">
        <v>145</v>
      </c>
      <c r="C70" s="15">
        <v>50.0</v>
      </c>
      <c r="D70" s="16">
        <f t="shared" si="1"/>
        <v>6.5</v>
      </c>
      <c r="E70" s="17">
        <v>325.0</v>
      </c>
      <c r="F70" s="16">
        <f>D70*1.23</f>
        <v>7.995</v>
      </c>
      <c r="G70" s="16">
        <f>E70*1.154</f>
        <v>375.05</v>
      </c>
      <c r="H70" s="16">
        <f t="shared" si="2"/>
        <v>7.501</v>
      </c>
      <c r="I70" s="18">
        <f t="shared" si="3"/>
        <v>1</v>
      </c>
      <c r="J70" s="19">
        <v>8.0</v>
      </c>
    </row>
    <row r="71" ht="15.75" customHeight="1">
      <c r="A71" s="13" t="s">
        <v>146</v>
      </c>
      <c r="B71" s="14" t="s">
        <v>147</v>
      </c>
      <c r="C71" s="15">
        <v>50.0</v>
      </c>
      <c r="D71" s="16">
        <f t="shared" si="1"/>
        <v>4.3</v>
      </c>
      <c r="E71" s="17">
        <v>215.0</v>
      </c>
      <c r="F71" s="16">
        <f>D71*1.396</f>
        <v>6.0028</v>
      </c>
      <c r="G71" s="16">
        <f>E71*1.23257</f>
        <v>265.00255</v>
      </c>
      <c r="H71" s="16">
        <f t="shared" si="2"/>
        <v>5.300051</v>
      </c>
      <c r="I71" s="18">
        <f t="shared" si="3"/>
        <v>1</v>
      </c>
      <c r="J71" s="19">
        <v>8.0</v>
      </c>
    </row>
    <row r="72" ht="15.75" customHeight="1">
      <c r="A72" s="13" t="s">
        <v>148</v>
      </c>
      <c r="B72" s="14" t="s">
        <v>149</v>
      </c>
      <c r="C72" s="15">
        <v>50.0</v>
      </c>
      <c r="D72" s="16">
        <f t="shared" si="1"/>
        <v>4.6</v>
      </c>
      <c r="E72" s="17">
        <v>230.0</v>
      </c>
      <c r="F72" s="16">
        <f>D72*1.412</f>
        <v>6.4952</v>
      </c>
      <c r="G72" s="16">
        <f>E72*1.2174</f>
        <v>280.002</v>
      </c>
      <c r="H72" s="16">
        <f t="shared" si="2"/>
        <v>5.60004</v>
      </c>
      <c r="I72" s="18">
        <f t="shared" si="3"/>
        <v>1</v>
      </c>
      <c r="J72" s="19">
        <v>8.0</v>
      </c>
    </row>
    <row r="73" ht="15.75" customHeight="1">
      <c r="A73" s="13" t="s">
        <v>150</v>
      </c>
      <c r="B73" s="14" t="s">
        <v>151</v>
      </c>
      <c r="C73" s="15">
        <v>50.0</v>
      </c>
      <c r="D73" s="16">
        <f t="shared" si="1"/>
        <v>3.8</v>
      </c>
      <c r="E73" s="17">
        <v>190.0</v>
      </c>
      <c r="F73" s="16">
        <f>D73*1.315</f>
        <v>4.997</v>
      </c>
      <c r="G73" s="16">
        <f>E73*1.26315</f>
        <v>239.9985</v>
      </c>
      <c r="H73" s="16">
        <f t="shared" si="2"/>
        <v>4.79997</v>
      </c>
      <c r="I73" s="18">
        <f t="shared" si="3"/>
        <v>1</v>
      </c>
      <c r="J73" s="19">
        <v>6.0</v>
      </c>
    </row>
    <row r="74" ht="15.75" customHeight="1">
      <c r="A74" s="13" t="s">
        <v>152</v>
      </c>
      <c r="B74" s="14" t="s">
        <v>153</v>
      </c>
      <c r="C74" s="15">
        <v>50.0</v>
      </c>
      <c r="D74" s="16">
        <f t="shared" si="1"/>
        <v>3.3</v>
      </c>
      <c r="E74" s="17">
        <v>165.0</v>
      </c>
      <c r="F74" s="16">
        <f>D74*1.668</f>
        <v>5.5044</v>
      </c>
      <c r="G74" s="16">
        <f>E74*1.303</f>
        <v>214.995</v>
      </c>
      <c r="H74" s="16">
        <f t="shared" si="2"/>
        <v>4.2999</v>
      </c>
      <c r="I74" s="18">
        <f t="shared" si="3"/>
        <v>1</v>
      </c>
      <c r="J74" s="19">
        <v>7.0</v>
      </c>
    </row>
    <row r="75" ht="15.75" customHeight="1">
      <c r="A75" s="13" t="s">
        <v>154</v>
      </c>
      <c r="B75" s="24" t="s">
        <v>155</v>
      </c>
      <c r="C75" s="25">
        <v>50.0</v>
      </c>
      <c r="D75" s="26">
        <f t="shared" si="1"/>
        <v>7.2</v>
      </c>
      <c r="E75" s="27">
        <v>360.0</v>
      </c>
      <c r="F75" s="26">
        <f t="shared" ref="F75:G75" si="21">D75*1.041</f>
        <v>7.4952</v>
      </c>
      <c r="G75" s="26">
        <f t="shared" si="21"/>
        <v>374.76</v>
      </c>
      <c r="H75" s="26">
        <f t="shared" si="2"/>
        <v>7.4952</v>
      </c>
      <c r="I75" s="18">
        <f t="shared" si="3"/>
        <v>1</v>
      </c>
      <c r="J75" s="19">
        <v>8.0</v>
      </c>
    </row>
    <row r="76" ht="15.75" customHeight="1">
      <c r="A76" s="13" t="s">
        <v>156</v>
      </c>
      <c r="B76" s="14" t="s">
        <v>157</v>
      </c>
      <c r="C76" s="15">
        <v>50.0</v>
      </c>
      <c r="D76" s="16">
        <f t="shared" si="1"/>
        <v>4.5</v>
      </c>
      <c r="E76" s="17">
        <v>225.0</v>
      </c>
      <c r="F76" s="16">
        <f t="shared" ref="F76:F77" si="22">D76*1.555</f>
        <v>6.9975</v>
      </c>
      <c r="G76" s="16">
        <f t="shared" ref="G76:G77" si="23">E76*1.2222</f>
        <v>274.995</v>
      </c>
      <c r="H76" s="16">
        <f t="shared" si="2"/>
        <v>5.4999</v>
      </c>
      <c r="I76" s="18">
        <f t="shared" si="3"/>
        <v>1</v>
      </c>
      <c r="J76" s="19">
        <v>8.0</v>
      </c>
    </row>
    <row r="77" ht="15.75" customHeight="1">
      <c r="A77" s="13" t="s">
        <v>158</v>
      </c>
      <c r="B77" s="14" t="s">
        <v>159</v>
      </c>
      <c r="C77" s="15">
        <v>50.0</v>
      </c>
      <c r="D77" s="16">
        <f t="shared" si="1"/>
        <v>4.5</v>
      </c>
      <c r="E77" s="17">
        <v>225.0</v>
      </c>
      <c r="F77" s="16">
        <f t="shared" si="22"/>
        <v>6.9975</v>
      </c>
      <c r="G77" s="16">
        <f t="shared" si="23"/>
        <v>274.995</v>
      </c>
      <c r="H77" s="16">
        <f t="shared" si="2"/>
        <v>5.4999</v>
      </c>
      <c r="I77" s="18">
        <f t="shared" si="3"/>
        <v>1</v>
      </c>
      <c r="J77" s="19">
        <v>8.0</v>
      </c>
    </row>
    <row r="78" ht="15.75" customHeight="1">
      <c r="A78" s="13" t="s">
        <v>160</v>
      </c>
      <c r="B78" s="14" t="s">
        <v>161</v>
      </c>
      <c r="C78" s="15">
        <v>50.0</v>
      </c>
      <c r="D78" s="16">
        <f t="shared" si="1"/>
        <v>5.4</v>
      </c>
      <c r="E78" s="17">
        <v>270.0</v>
      </c>
      <c r="F78" s="16">
        <f>D78*1.297</f>
        <v>7.0038</v>
      </c>
      <c r="G78" s="16">
        <f>E78*1.1852</f>
        <v>320.004</v>
      </c>
      <c r="H78" s="16">
        <f t="shared" si="2"/>
        <v>6.40008</v>
      </c>
      <c r="I78" s="18">
        <f t="shared" si="3"/>
        <v>1</v>
      </c>
      <c r="J78" s="19">
        <v>8.0</v>
      </c>
    </row>
    <row r="79" ht="15.75" customHeight="1">
      <c r="A79" s="13" t="s">
        <v>162</v>
      </c>
      <c r="B79" s="14" t="s">
        <v>163</v>
      </c>
      <c r="C79" s="15">
        <v>30.0</v>
      </c>
      <c r="D79" s="16">
        <f t="shared" si="1"/>
        <v>8</v>
      </c>
      <c r="E79" s="17">
        <v>240.0</v>
      </c>
      <c r="F79" s="16">
        <f>D79*1.25</f>
        <v>10</v>
      </c>
      <c r="G79" s="16">
        <f>E79*1.12499</f>
        <v>269.9976</v>
      </c>
      <c r="H79" s="16">
        <f t="shared" si="2"/>
        <v>8.99992</v>
      </c>
      <c r="I79" s="18">
        <f t="shared" si="3"/>
        <v>1</v>
      </c>
      <c r="J79" s="19">
        <v>12.0</v>
      </c>
    </row>
    <row r="80" ht="15.75" customHeight="1">
      <c r="A80" s="13" t="s">
        <v>164</v>
      </c>
      <c r="B80" s="21" t="s">
        <v>165</v>
      </c>
      <c r="C80" s="32" t="s">
        <v>166</v>
      </c>
      <c r="D80" s="23" t="str">
        <f t="shared" si="1"/>
        <v>#VALUE!</v>
      </c>
      <c r="E80" s="23">
        <v>0.0</v>
      </c>
      <c r="F80" s="23" t="str">
        <f t="shared" ref="F80:F81" si="24">D80*1.8</f>
        <v>#VALUE!</v>
      </c>
      <c r="G80" s="23">
        <f t="shared" ref="G80:G81" si="25">E80*1.5</f>
        <v>0</v>
      </c>
      <c r="H80" s="23" t="str">
        <f t="shared" si="2"/>
        <v>#VALUE!</v>
      </c>
      <c r="I80" s="33">
        <f t="shared" si="3"/>
        <v>1</v>
      </c>
      <c r="J80" s="34"/>
    </row>
    <row r="81" ht="15.75" customHeight="1">
      <c r="A81" s="13" t="s">
        <v>167</v>
      </c>
      <c r="B81" s="21" t="s">
        <v>168</v>
      </c>
      <c r="C81" s="32" t="s">
        <v>166</v>
      </c>
      <c r="D81" s="23" t="str">
        <f t="shared" si="1"/>
        <v>#VALUE!</v>
      </c>
      <c r="E81" s="23">
        <v>0.0</v>
      </c>
      <c r="F81" s="23" t="str">
        <f t="shared" si="24"/>
        <v>#VALUE!</v>
      </c>
      <c r="G81" s="23">
        <f t="shared" si="25"/>
        <v>0</v>
      </c>
      <c r="H81" s="23" t="str">
        <f t="shared" si="2"/>
        <v>#VALUE!</v>
      </c>
      <c r="I81" s="33">
        <f t="shared" si="3"/>
        <v>1</v>
      </c>
      <c r="J81" s="34"/>
    </row>
    <row r="82" ht="15.75" customHeight="1">
      <c r="A82" s="13" t="s">
        <v>169</v>
      </c>
      <c r="B82" s="14" t="s">
        <v>170</v>
      </c>
      <c r="C82" s="15">
        <v>50.0</v>
      </c>
      <c r="D82" s="16">
        <f t="shared" si="1"/>
        <v>4.5</v>
      </c>
      <c r="E82" s="17">
        <v>225.0</v>
      </c>
      <c r="F82" s="16">
        <f>D82*1.289</f>
        <v>5.8005</v>
      </c>
      <c r="G82" s="16">
        <f>E82*1.2222</f>
        <v>274.995</v>
      </c>
      <c r="H82" s="16">
        <f t="shared" si="2"/>
        <v>5.4999</v>
      </c>
      <c r="I82" s="18">
        <f t="shared" si="3"/>
        <v>1</v>
      </c>
      <c r="J82" s="19">
        <v>6.0</v>
      </c>
    </row>
    <row r="83" ht="15.75" customHeight="1">
      <c r="A83" s="13" t="s">
        <v>171</v>
      </c>
      <c r="B83" s="14" t="s">
        <v>172</v>
      </c>
      <c r="C83" s="15">
        <v>50.0</v>
      </c>
      <c r="D83" s="16">
        <f t="shared" si="1"/>
        <v>5.5</v>
      </c>
      <c r="E83" s="17">
        <v>275.0</v>
      </c>
      <c r="F83" s="16">
        <f>D83*1.272</f>
        <v>6.996</v>
      </c>
      <c r="G83" s="16">
        <f>E83*1.1818</f>
        <v>324.995</v>
      </c>
      <c r="H83" s="16">
        <f t="shared" si="2"/>
        <v>6.4999</v>
      </c>
      <c r="I83" s="18">
        <f t="shared" si="3"/>
        <v>1</v>
      </c>
      <c r="J83" s="19">
        <v>8.0</v>
      </c>
    </row>
    <row r="84" ht="15.75" customHeight="1">
      <c r="A84" s="13" t="s">
        <v>173</v>
      </c>
      <c r="B84" s="14" t="s">
        <v>174</v>
      </c>
      <c r="C84" s="15">
        <v>50.0</v>
      </c>
      <c r="D84" s="16">
        <f t="shared" si="1"/>
        <v>10</v>
      </c>
      <c r="E84" s="17">
        <v>500.0</v>
      </c>
      <c r="F84" s="16">
        <f>D84*1.18</f>
        <v>11.8</v>
      </c>
      <c r="G84" s="16">
        <f>E84*1.1</f>
        <v>550</v>
      </c>
      <c r="H84" s="16">
        <f t="shared" si="2"/>
        <v>11</v>
      </c>
      <c r="I84" s="18">
        <f t="shared" si="3"/>
        <v>1</v>
      </c>
      <c r="J84" s="19">
        <v>12.0</v>
      </c>
    </row>
    <row r="85" ht="15.75" customHeight="1">
      <c r="A85" s="13" t="s">
        <v>175</v>
      </c>
      <c r="B85" s="14" t="s">
        <v>176</v>
      </c>
      <c r="C85" s="15">
        <v>50.0</v>
      </c>
      <c r="D85" s="16">
        <f t="shared" si="1"/>
        <v>4.5</v>
      </c>
      <c r="E85" s="17">
        <v>225.0</v>
      </c>
      <c r="F85" s="16">
        <f>D85*1.555</f>
        <v>6.9975</v>
      </c>
      <c r="G85" s="16">
        <f>E85*1.2222</f>
        <v>274.995</v>
      </c>
      <c r="H85" s="16">
        <f t="shared" si="2"/>
        <v>5.4999</v>
      </c>
      <c r="I85" s="18">
        <f t="shared" si="3"/>
        <v>1</v>
      </c>
      <c r="J85" s="19">
        <v>10.0</v>
      </c>
    </row>
    <row r="86" ht="15.75" customHeight="1">
      <c r="A86" s="13" t="s">
        <v>177</v>
      </c>
      <c r="B86" s="31" t="s">
        <v>178</v>
      </c>
      <c r="C86" s="15">
        <v>50.0</v>
      </c>
      <c r="D86" s="16">
        <f t="shared" si="1"/>
        <v>5.5</v>
      </c>
      <c r="E86" s="17">
        <v>275.0</v>
      </c>
      <c r="F86" s="16">
        <f>D86*1.455</f>
        <v>8.0025</v>
      </c>
      <c r="G86" s="16">
        <f>E86*1.1818</f>
        <v>324.995</v>
      </c>
      <c r="H86" s="16">
        <f t="shared" si="2"/>
        <v>6.4999</v>
      </c>
      <c r="I86" s="18">
        <f t="shared" si="3"/>
        <v>1</v>
      </c>
      <c r="J86" s="19">
        <v>10.0</v>
      </c>
    </row>
    <row r="87" ht="15.75" customHeight="1">
      <c r="A87" s="13" t="s">
        <v>179</v>
      </c>
      <c r="B87" s="14" t="s">
        <v>180</v>
      </c>
      <c r="C87" s="15">
        <v>25.0</v>
      </c>
      <c r="D87" s="16">
        <f t="shared" si="1"/>
        <v>12.5</v>
      </c>
      <c r="E87" s="17">
        <v>312.5</v>
      </c>
      <c r="F87" s="16">
        <f>D87*1.2</f>
        <v>15</v>
      </c>
      <c r="G87" s="16">
        <f>E87*1.08</f>
        <v>337.5</v>
      </c>
      <c r="H87" s="16">
        <f t="shared" si="2"/>
        <v>13.5</v>
      </c>
      <c r="I87" s="18">
        <f t="shared" si="3"/>
        <v>1</v>
      </c>
      <c r="J87" s="19">
        <v>16.0</v>
      </c>
    </row>
    <row r="88" ht="15.75" customHeight="1">
      <c r="A88" s="13" t="s">
        <v>181</v>
      </c>
      <c r="B88" s="14" t="s">
        <v>182</v>
      </c>
      <c r="C88" s="15">
        <v>50.0</v>
      </c>
      <c r="D88" s="16">
        <f t="shared" si="1"/>
        <v>8.5</v>
      </c>
      <c r="E88" s="17">
        <v>425.0</v>
      </c>
      <c r="F88" s="16">
        <f>D88*1.177</f>
        <v>10.0045</v>
      </c>
      <c r="G88" s="16">
        <f>E88*1.11765</f>
        <v>475.00125</v>
      </c>
      <c r="H88" s="16">
        <f t="shared" si="2"/>
        <v>9.500025</v>
      </c>
      <c r="I88" s="18">
        <f t="shared" si="3"/>
        <v>1</v>
      </c>
      <c r="J88" s="19">
        <v>12.0</v>
      </c>
    </row>
    <row r="89" ht="15.75" customHeight="1">
      <c r="A89" s="13" t="s">
        <v>183</v>
      </c>
      <c r="B89" s="14" t="s">
        <v>184</v>
      </c>
      <c r="C89" s="15">
        <v>50.0</v>
      </c>
      <c r="D89" s="16">
        <f t="shared" si="1"/>
        <v>9</v>
      </c>
      <c r="E89" s="17">
        <v>450.0</v>
      </c>
      <c r="F89" s="16">
        <f t="shared" ref="F89:F91" si="26">D89*1.7777</f>
        <v>15.9993</v>
      </c>
      <c r="G89" s="16">
        <f t="shared" ref="G89:G91" si="27">E89*1.33333</f>
        <v>599.9985</v>
      </c>
      <c r="H89" s="16">
        <f t="shared" si="2"/>
        <v>11.99997</v>
      </c>
      <c r="I89" s="18">
        <f t="shared" si="3"/>
        <v>1</v>
      </c>
      <c r="J89" s="19">
        <v>20.0</v>
      </c>
    </row>
    <row r="90" ht="15.75" customHeight="1">
      <c r="A90" s="13" t="s">
        <v>185</v>
      </c>
      <c r="B90" s="14" t="s">
        <v>186</v>
      </c>
      <c r="C90" s="15">
        <v>20.0</v>
      </c>
      <c r="D90" s="16">
        <f t="shared" si="1"/>
        <v>9</v>
      </c>
      <c r="E90" s="17">
        <v>180.0</v>
      </c>
      <c r="F90" s="16">
        <f t="shared" si="26"/>
        <v>15.9993</v>
      </c>
      <c r="G90" s="16">
        <f t="shared" si="27"/>
        <v>239.9994</v>
      </c>
      <c r="H90" s="16">
        <f t="shared" si="2"/>
        <v>11.99997</v>
      </c>
      <c r="I90" s="18">
        <f t="shared" si="3"/>
        <v>1</v>
      </c>
      <c r="J90" s="19">
        <v>20.0</v>
      </c>
    </row>
    <row r="91" ht="15.75" customHeight="1">
      <c r="A91" s="13" t="s">
        <v>187</v>
      </c>
      <c r="B91" s="14" t="s">
        <v>188</v>
      </c>
      <c r="C91" s="15">
        <v>20.0</v>
      </c>
      <c r="D91" s="16">
        <f t="shared" si="1"/>
        <v>9</v>
      </c>
      <c r="E91" s="17">
        <v>180.0</v>
      </c>
      <c r="F91" s="16">
        <f t="shared" si="26"/>
        <v>15.9993</v>
      </c>
      <c r="G91" s="16">
        <f t="shared" si="27"/>
        <v>239.9994</v>
      </c>
      <c r="H91" s="16">
        <f t="shared" si="2"/>
        <v>11.99997</v>
      </c>
      <c r="I91" s="18">
        <f t="shared" si="3"/>
        <v>1</v>
      </c>
      <c r="J91" s="19">
        <v>20.0</v>
      </c>
    </row>
    <row r="92" ht="15.75" customHeight="1">
      <c r="A92" s="13" t="s">
        <v>189</v>
      </c>
      <c r="B92" s="14" t="s">
        <v>190</v>
      </c>
      <c r="C92" s="15">
        <v>20.0</v>
      </c>
      <c r="D92" s="16">
        <f t="shared" si="1"/>
        <v>10</v>
      </c>
      <c r="E92" s="17">
        <v>200.0</v>
      </c>
      <c r="F92" s="16">
        <f>D92*1.6</f>
        <v>16</v>
      </c>
      <c r="G92" s="16">
        <f>E92*1.2</f>
        <v>240</v>
      </c>
      <c r="H92" s="16">
        <f t="shared" si="2"/>
        <v>12</v>
      </c>
      <c r="I92" s="18">
        <f t="shared" si="3"/>
        <v>1</v>
      </c>
      <c r="J92" s="19">
        <v>20.0</v>
      </c>
    </row>
    <row r="93" ht="15.75" customHeight="1">
      <c r="A93" s="13" t="s">
        <v>191</v>
      </c>
      <c r="B93" s="14" t="s">
        <v>192</v>
      </c>
      <c r="C93" s="15">
        <v>5.0</v>
      </c>
      <c r="D93" s="16">
        <f t="shared" si="1"/>
        <v>14</v>
      </c>
      <c r="E93" s="17">
        <v>70.0</v>
      </c>
      <c r="F93" s="16">
        <f>D93*1.2855</f>
        <v>17.997</v>
      </c>
      <c r="G93" s="16">
        <f>E93*1.143</f>
        <v>80.01</v>
      </c>
      <c r="H93" s="16">
        <f t="shared" si="2"/>
        <v>16.002</v>
      </c>
      <c r="I93" s="18">
        <f t="shared" si="3"/>
        <v>1</v>
      </c>
      <c r="J93" s="19">
        <v>20.0</v>
      </c>
    </row>
    <row r="94" ht="15.75" customHeight="1">
      <c r="A94" s="13" t="s">
        <v>193</v>
      </c>
      <c r="B94" s="24" t="s">
        <v>194</v>
      </c>
      <c r="C94" s="25">
        <v>3.0</v>
      </c>
      <c r="D94" s="26">
        <f t="shared" si="1"/>
        <v>12</v>
      </c>
      <c r="E94" s="27">
        <v>36.0</v>
      </c>
      <c r="F94" s="26">
        <f t="shared" ref="F94:G94" si="28">D94*1.083</f>
        <v>12.996</v>
      </c>
      <c r="G94" s="26">
        <f t="shared" si="28"/>
        <v>38.988</v>
      </c>
      <c r="H94" s="26">
        <f t="shared" si="2"/>
        <v>12.996</v>
      </c>
      <c r="I94" s="18">
        <f t="shared" si="3"/>
        <v>1</v>
      </c>
      <c r="J94" s="19">
        <v>14.0</v>
      </c>
    </row>
    <row r="95" ht="15.75" customHeight="1">
      <c r="A95" s="13" t="s">
        <v>195</v>
      </c>
      <c r="B95" s="31" t="s">
        <v>196</v>
      </c>
      <c r="C95" s="15">
        <v>50.0</v>
      </c>
      <c r="D95" s="16">
        <f t="shared" si="1"/>
        <v>6.3</v>
      </c>
      <c r="E95" s="17">
        <v>315.0</v>
      </c>
      <c r="F95" s="16">
        <f>D95*1.27</f>
        <v>8.001</v>
      </c>
      <c r="G95" s="16">
        <f>E95*1.15872</f>
        <v>364.9968</v>
      </c>
      <c r="H95" s="16">
        <f t="shared" si="2"/>
        <v>7.299936</v>
      </c>
      <c r="I95" s="18">
        <f t="shared" si="3"/>
        <v>1</v>
      </c>
      <c r="J95" s="19">
        <v>10.0</v>
      </c>
    </row>
    <row r="96" ht="15.75" customHeight="1">
      <c r="A96" s="13" t="s">
        <v>197</v>
      </c>
      <c r="B96" s="31" t="s">
        <v>198</v>
      </c>
      <c r="C96" s="15">
        <v>50.0</v>
      </c>
      <c r="D96" s="16">
        <f t="shared" si="1"/>
        <v>4.3</v>
      </c>
      <c r="E96" s="17">
        <v>215.0</v>
      </c>
      <c r="F96" s="16">
        <f>D96*1.628</f>
        <v>7.0004</v>
      </c>
      <c r="G96" s="16">
        <f>E96*1.23255</f>
        <v>264.99825</v>
      </c>
      <c r="H96" s="16">
        <f t="shared" si="2"/>
        <v>5.299965</v>
      </c>
      <c r="I96" s="18">
        <f t="shared" si="3"/>
        <v>1</v>
      </c>
      <c r="J96" s="19">
        <v>10.0</v>
      </c>
    </row>
    <row r="97" ht="15.75" customHeight="1">
      <c r="A97" s="13" t="s">
        <v>199</v>
      </c>
      <c r="B97" s="14" t="s">
        <v>200</v>
      </c>
      <c r="C97" s="15">
        <v>50.0</v>
      </c>
      <c r="D97" s="16">
        <f t="shared" si="1"/>
        <v>14</v>
      </c>
      <c r="E97" s="17">
        <v>700.0</v>
      </c>
      <c r="F97" s="16">
        <f>D97*1.214</f>
        <v>16.996</v>
      </c>
      <c r="G97" s="16">
        <f>E97*1.07143</f>
        <v>750.001</v>
      </c>
      <c r="H97" s="16">
        <f t="shared" si="2"/>
        <v>15.00002</v>
      </c>
      <c r="I97" s="18">
        <f t="shared" si="3"/>
        <v>1</v>
      </c>
      <c r="J97" s="19">
        <v>20.0</v>
      </c>
    </row>
    <row r="98" ht="15.75" customHeight="1">
      <c r="A98" s="13" t="s">
        <v>201</v>
      </c>
      <c r="B98" s="14" t="s">
        <v>202</v>
      </c>
      <c r="C98" s="15">
        <v>50.0</v>
      </c>
      <c r="D98" s="16">
        <f t="shared" si="1"/>
        <v>10</v>
      </c>
      <c r="E98" s="17">
        <v>500.0</v>
      </c>
      <c r="F98" s="16">
        <f>D98*1.6</f>
        <v>16</v>
      </c>
      <c r="G98" s="16">
        <f>E98*1.3</f>
        <v>650</v>
      </c>
      <c r="H98" s="16">
        <f t="shared" si="2"/>
        <v>13</v>
      </c>
      <c r="I98" s="18">
        <f t="shared" si="3"/>
        <v>1</v>
      </c>
      <c r="J98" s="19">
        <v>18.0</v>
      </c>
    </row>
    <row r="99" ht="15.75" customHeight="1">
      <c r="A99" s="13" t="s">
        <v>203</v>
      </c>
      <c r="B99" s="14" t="s">
        <v>204</v>
      </c>
      <c r="C99" s="15">
        <v>50.0</v>
      </c>
      <c r="D99" s="16">
        <f t="shared" si="1"/>
        <v>15</v>
      </c>
      <c r="E99" s="17">
        <v>750.0</v>
      </c>
      <c r="F99" s="16">
        <f>D99*1.133</f>
        <v>16.995</v>
      </c>
      <c r="G99" s="16">
        <f>E99*1.066666</f>
        <v>799.9995</v>
      </c>
      <c r="H99" s="16">
        <f t="shared" si="2"/>
        <v>15.99999</v>
      </c>
      <c r="I99" s="18">
        <f t="shared" si="3"/>
        <v>1</v>
      </c>
      <c r="J99" s="19">
        <v>18.0</v>
      </c>
    </row>
    <row r="100" ht="15.75" customHeight="1">
      <c r="A100" s="13" t="s">
        <v>205</v>
      </c>
      <c r="B100" s="14" t="s">
        <v>206</v>
      </c>
      <c r="C100" s="15">
        <v>50.0</v>
      </c>
      <c r="D100" s="16">
        <f t="shared" si="1"/>
        <v>6.5</v>
      </c>
      <c r="E100" s="17">
        <v>325.0</v>
      </c>
      <c r="F100" s="16">
        <f>D100*1.23</f>
        <v>7.995</v>
      </c>
      <c r="G100" s="16">
        <f>E100*1.15385</f>
        <v>375.00125</v>
      </c>
      <c r="H100" s="16">
        <f t="shared" si="2"/>
        <v>7.500025</v>
      </c>
      <c r="I100" s="18">
        <f t="shared" si="3"/>
        <v>1</v>
      </c>
      <c r="J100" s="19">
        <v>8.0</v>
      </c>
    </row>
    <row r="101" ht="15.75" customHeight="1">
      <c r="A101" s="13" t="s">
        <v>207</v>
      </c>
      <c r="B101" s="31" t="s">
        <v>208</v>
      </c>
      <c r="C101" s="15">
        <v>23.0</v>
      </c>
      <c r="D101" s="16">
        <f t="shared" si="1"/>
        <v>3.2</v>
      </c>
      <c r="E101" s="17">
        <v>73.6</v>
      </c>
      <c r="F101" s="16">
        <f>D101*1.564</f>
        <v>5.0048</v>
      </c>
      <c r="G101" s="16">
        <f>E101*1.21</f>
        <v>89.056</v>
      </c>
      <c r="H101" s="16">
        <f t="shared" si="2"/>
        <v>3.872</v>
      </c>
      <c r="I101" s="18">
        <f t="shared" si="3"/>
        <v>1</v>
      </c>
      <c r="J101" s="19" t="s">
        <v>78</v>
      </c>
    </row>
    <row r="102" ht="15.75" customHeight="1">
      <c r="A102" s="13" t="s">
        <v>209</v>
      </c>
      <c r="B102" s="14" t="s">
        <v>210</v>
      </c>
      <c r="C102" s="15">
        <v>50.0</v>
      </c>
      <c r="D102" s="16">
        <f t="shared" si="1"/>
        <v>5.8</v>
      </c>
      <c r="E102" s="17">
        <v>290.0</v>
      </c>
      <c r="F102" s="16">
        <f>D102*1.207</f>
        <v>7.0006</v>
      </c>
      <c r="G102" s="16">
        <f>E102*1.1724</f>
        <v>339.996</v>
      </c>
      <c r="H102" s="16">
        <f t="shared" si="2"/>
        <v>6.79992</v>
      </c>
      <c r="I102" s="18">
        <f t="shared" si="3"/>
        <v>1</v>
      </c>
      <c r="J102" s="19" t="s">
        <v>211</v>
      </c>
    </row>
    <row r="103" ht="15.75" customHeight="1">
      <c r="A103" s="13" t="s">
        <v>212</v>
      </c>
      <c r="B103" s="14" t="s">
        <v>213</v>
      </c>
      <c r="C103" s="15">
        <v>50.0</v>
      </c>
      <c r="D103" s="16">
        <f t="shared" si="1"/>
        <v>3.5</v>
      </c>
      <c r="E103" s="17">
        <v>175.0</v>
      </c>
      <c r="F103" s="16">
        <f>D103*1.57</f>
        <v>5.495</v>
      </c>
      <c r="G103" s="16">
        <f>E103*1.28855</f>
        <v>225.49625</v>
      </c>
      <c r="H103" s="16">
        <f t="shared" si="2"/>
        <v>4.509925</v>
      </c>
      <c r="I103" s="18">
        <f t="shared" si="3"/>
        <v>1</v>
      </c>
      <c r="J103" s="19">
        <v>7.0</v>
      </c>
    </row>
    <row r="104" ht="15.75" customHeight="1">
      <c r="A104" s="13" t="s">
        <v>214</v>
      </c>
      <c r="B104" s="14" t="s">
        <v>215</v>
      </c>
      <c r="C104" s="15">
        <v>50.0</v>
      </c>
      <c r="D104" s="16">
        <f t="shared" si="1"/>
        <v>4</v>
      </c>
      <c r="E104" s="17">
        <v>200.0</v>
      </c>
      <c r="F104" s="16">
        <f t="shared" ref="F104:F106" si="29">D104*1.5</f>
        <v>6</v>
      </c>
      <c r="G104" s="16">
        <f t="shared" ref="G104:G105" si="30">E104*1.25</f>
        <v>250</v>
      </c>
      <c r="H104" s="16">
        <f t="shared" si="2"/>
        <v>5</v>
      </c>
      <c r="I104" s="18">
        <f t="shared" si="3"/>
        <v>1</v>
      </c>
      <c r="J104" s="19">
        <v>7.0</v>
      </c>
    </row>
    <row r="105" ht="15.75" customHeight="1">
      <c r="A105" s="13" t="s">
        <v>216</v>
      </c>
      <c r="B105" s="14" t="s">
        <v>217</v>
      </c>
      <c r="C105" s="15">
        <v>50.0</v>
      </c>
      <c r="D105" s="16">
        <f t="shared" si="1"/>
        <v>4</v>
      </c>
      <c r="E105" s="17">
        <v>200.0</v>
      </c>
      <c r="F105" s="16">
        <f t="shared" si="29"/>
        <v>6</v>
      </c>
      <c r="G105" s="16">
        <f t="shared" si="30"/>
        <v>250</v>
      </c>
      <c r="H105" s="16">
        <f t="shared" si="2"/>
        <v>5</v>
      </c>
      <c r="I105" s="18">
        <f t="shared" si="3"/>
        <v>1</v>
      </c>
      <c r="J105" s="19">
        <v>7.0</v>
      </c>
    </row>
    <row r="106" ht="15.75" customHeight="1">
      <c r="A106" s="13" t="s">
        <v>218</v>
      </c>
      <c r="B106" s="14" t="s">
        <v>219</v>
      </c>
      <c r="C106" s="15">
        <v>50.0</v>
      </c>
      <c r="D106" s="16">
        <f t="shared" si="1"/>
        <v>4.5</v>
      </c>
      <c r="E106" s="17">
        <v>225.0</v>
      </c>
      <c r="F106" s="16">
        <f t="shared" si="29"/>
        <v>6.75</v>
      </c>
      <c r="G106" s="16">
        <f>E106*1.223</f>
        <v>275.175</v>
      </c>
      <c r="H106" s="16">
        <f t="shared" si="2"/>
        <v>5.5035</v>
      </c>
      <c r="I106" s="18">
        <f t="shared" si="3"/>
        <v>1</v>
      </c>
      <c r="J106" s="19" t="s">
        <v>220</v>
      </c>
    </row>
    <row r="107" ht="15.75" customHeight="1">
      <c r="A107" s="13" t="s">
        <v>221</v>
      </c>
      <c r="B107" s="14" t="s">
        <v>222</v>
      </c>
      <c r="C107" s="15">
        <v>50.0</v>
      </c>
      <c r="D107" s="16">
        <f t="shared" si="1"/>
        <v>3.8</v>
      </c>
      <c r="E107" s="17">
        <v>190.0</v>
      </c>
      <c r="F107" s="16">
        <f t="shared" ref="F107:F108" si="31">D107*1.3148</f>
        <v>4.99624</v>
      </c>
      <c r="G107" s="16">
        <f t="shared" ref="G107:G108" si="32">E107*1.26315</f>
        <v>239.9985</v>
      </c>
      <c r="H107" s="16">
        <f t="shared" si="2"/>
        <v>4.79997</v>
      </c>
      <c r="I107" s="18">
        <f t="shared" si="3"/>
        <v>1</v>
      </c>
      <c r="J107" s="19" t="s">
        <v>78</v>
      </c>
    </row>
    <row r="108" ht="15.75" customHeight="1">
      <c r="A108" s="13" t="s">
        <v>223</v>
      </c>
      <c r="B108" s="14" t="s">
        <v>224</v>
      </c>
      <c r="C108" s="15">
        <v>50.0</v>
      </c>
      <c r="D108" s="16">
        <f t="shared" si="1"/>
        <v>3.8</v>
      </c>
      <c r="E108" s="17">
        <v>190.0</v>
      </c>
      <c r="F108" s="16">
        <f t="shared" si="31"/>
        <v>4.99624</v>
      </c>
      <c r="G108" s="16">
        <f t="shared" si="32"/>
        <v>239.9985</v>
      </c>
      <c r="H108" s="16">
        <f t="shared" si="2"/>
        <v>4.79997</v>
      </c>
      <c r="I108" s="18">
        <f t="shared" si="3"/>
        <v>1</v>
      </c>
      <c r="J108" s="19" t="s">
        <v>78</v>
      </c>
    </row>
    <row r="109" ht="15.75" customHeight="1">
      <c r="A109" s="13" t="s">
        <v>225</v>
      </c>
      <c r="B109" s="14" t="s">
        <v>226</v>
      </c>
      <c r="C109" s="15">
        <v>50.0</v>
      </c>
      <c r="D109" s="16">
        <f t="shared" si="1"/>
        <v>3.2</v>
      </c>
      <c r="E109" s="17">
        <v>160.0</v>
      </c>
      <c r="F109" s="16">
        <f t="shared" ref="F109:G109" si="33">D109*1.25</f>
        <v>4</v>
      </c>
      <c r="G109" s="16">
        <f t="shared" si="33"/>
        <v>200</v>
      </c>
      <c r="H109" s="16">
        <f t="shared" si="2"/>
        <v>4</v>
      </c>
      <c r="I109" s="18">
        <f t="shared" si="3"/>
        <v>1</v>
      </c>
      <c r="J109" s="19">
        <v>4.0</v>
      </c>
    </row>
    <row r="110" ht="15.75" customHeight="1">
      <c r="A110" s="13" t="s">
        <v>227</v>
      </c>
      <c r="B110" s="31" t="s">
        <v>228</v>
      </c>
      <c r="C110" s="15">
        <v>50.0</v>
      </c>
      <c r="D110" s="16">
        <f t="shared" si="1"/>
        <v>18</v>
      </c>
      <c r="E110" s="17">
        <v>900.0</v>
      </c>
      <c r="F110" s="16">
        <f>D110*1.3333</f>
        <v>23.9994</v>
      </c>
      <c r="G110" s="16">
        <f>E110*1.222</f>
        <v>1099.8</v>
      </c>
      <c r="H110" s="16">
        <f t="shared" si="2"/>
        <v>21.996</v>
      </c>
      <c r="I110" s="18">
        <f t="shared" si="3"/>
        <v>1</v>
      </c>
      <c r="J110" s="19" t="s">
        <v>113</v>
      </c>
    </row>
    <row r="111" ht="15.75" customHeight="1">
      <c r="A111" s="13" t="s">
        <v>229</v>
      </c>
      <c r="B111" s="31" t="s">
        <v>230</v>
      </c>
      <c r="C111" s="15">
        <v>50.0</v>
      </c>
      <c r="D111" s="16">
        <f t="shared" si="1"/>
        <v>22</v>
      </c>
      <c r="E111" s="17">
        <v>1100.0</v>
      </c>
      <c r="F111" s="16">
        <f>D111*1.1818</f>
        <v>25.9996</v>
      </c>
      <c r="G111" s="16">
        <f>E111*1.09091</f>
        <v>1200.001</v>
      </c>
      <c r="H111" s="16">
        <f t="shared" si="2"/>
        <v>24.00002</v>
      </c>
      <c r="I111" s="18">
        <f t="shared" si="3"/>
        <v>1</v>
      </c>
      <c r="J111" s="19" t="s">
        <v>113</v>
      </c>
    </row>
    <row r="112" ht="15.75" customHeight="1">
      <c r="A112" s="13" t="s">
        <v>231</v>
      </c>
      <c r="B112" s="14" t="s">
        <v>232</v>
      </c>
      <c r="C112" s="15">
        <v>50.0</v>
      </c>
      <c r="D112" s="16">
        <f t="shared" si="1"/>
        <v>12.5</v>
      </c>
      <c r="E112" s="17">
        <v>625.0</v>
      </c>
      <c r="F112" s="16">
        <f>D112*1.12</f>
        <v>14</v>
      </c>
      <c r="G112" s="16">
        <f>E112*1.08</f>
        <v>675</v>
      </c>
      <c r="H112" s="16">
        <f t="shared" si="2"/>
        <v>13.5</v>
      </c>
      <c r="I112" s="18">
        <f t="shared" si="3"/>
        <v>1</v>
      </c>
      <c r="J112" s="19">
        <v>14.0</v>
      </c>
    </row>
    <row r="113" ht="15.75" customHeight="1">
      <c r="A113" s="13" t="s">
        <v>233</v>
      </c>
      <c r="B113" s="31" t="s">
        <v>234</v>
      </c>
      <c r="C113" s="15">
        <v>50.0</v>
      </c>
      <c r="D113" s="16">
        <f t="shared" si="1"/>
        <v>7.5</v>
      </c>
      <c r="E113" s="17">
        <v>375.0</v>
      </c>
      <c r="F113" s="16">
        <f>D113*1.2</f>
        <v>9</v>
      </c>
      <c r="G113" s="16">
        <f>E113*1.13333</f>
        <v>424.99875</v>
      </c>
      <c r="H113" s="16">
        <f t="shared" si="2"/>
        <v>8.499975</v>
      </c>
      <c r="I113" s="18">
        <f t="shared" si="3"/>
        <v>1</v>
      </c>
      <c r="J113" s="19">
        <v>10.0</v>
      </c>
    </row>
    <row r="114" ht="15.75" customHeight="1">
      <c r="A114" s="13" t="s">
        <v>235</v>
      </c>
      <c r="B114" s="14" t="s">
        <v>236</v>
      </c>
      <c r="C114" s="15">
        <v>50.0</v>
      </c>
      <c r="D114" s="16">
        <f t="shared" si="1"/>
        <v>6</v>
      </c>
      <c r="E114" s="17">
        <v>300.0</v>
      </c>
      <c r="F114" s="16">
        <f>D114*1.333</f>
        <v>7.998</v>
      </c>
      <c r="G114" s="16">
        <f>E114*1.167</f>
        <v>350.1</v>
      </c>
      <c r="H114" s="16">
        <f t="shared" si="2"/>
        <v>7.002</v>
      </c>
      <c r="I114" s="18">
        <f t="shared" si="3"/>
        <v>1</v>
      </c>
      <c r="J114" s="19">
        <v>9.0</v>
      </c>
    </row>
    <row r="115" ht="15.75" customHeight="1">
      <c r="A115" s="13" t="s">
        <v>237</v>
      </c>
      <c r="B115" s="14" t="s">
        <v>238</v>
      </c>
      <c r="C115" s="15">
        <v>50.0</v>
      </c>
      <c r="D115" s="16">
        <f t="shared" si="1"/>
        <v>5.2</v>
      </c>
      <c r="E115" s="17">
        <v>260.0</v>
      </c>
      <c r="F115" s="16">
        <f>D115*1.443</f>
        <v>7.5036</v>
      </c>
      <c r="G115" s="16">
        <f>E115*1.1923</f>
        <v>309.998</v>
      </c>
      <c r="H115" s="16">
        <f t="shared" si="2"/>
        <v>6.19996</v>
      </c>
      <c r="I115" s="18">
        <f t="shared" si="3"/>
        <v>1</v>
      </c>
      <c r="J115" s="19">
        <v>8.0</v>
      </c>
    </row>
    <row r="116" ht="15.75" customHeight="1">
      <c r="A116" s="13" t="s">
        <v>239</v>
      </c>
      <c r="B116" s="14" t="s">
        <v>240</v>
      </c>
      <c r="C116" s="15">
        <v>50.0</v>
      </c>
      <c r="D116" s="16">
        <f t="shared" si="1"/>
        <v>5.5</v>
      </c>
      <c r="E116" s="17">
        <v>275.0</v>
      </c>
      <c r="F116" s="16">
        <f>D116*1.363</f>
        <v>7.4965</v>
      </c>
      <c r="G116" s="16">
        <f>E116*1.1818</f>
        <v>324.995</v>
      </c>
      <c r="H116" s="16">
        <f t="shared" si="2"/>
        <v>6.4999</v>
      </c>
      <c r="I116" s="18">
        <f t="shared" si="3"/>
        <v>1</v>
      </c>
      <c r="J116" s="19">
        <v>8.0</v>
      </c>
    </row>
    <row r="117" ht="15.75" customHeight="1">
      <c r="A117" s="13" t="s">
        <v>241</v>
      </c>
      <c r="B117" s="31" t="s">
        <v>242</v>
      </c>
      <c r="C117" s="15">
        <v>50.0</v>
      </c>
      <c r="D117" s="16">
        <f t="shared" si="1"/>
        <v>6</v>
      </c>
      <c r="E117" s="17">
        <v>300.0</v>
      </c>
      <c r="F117" s="16">
        <f t="shared" ref="F117:F118" si="34">D117*1.333</f>
        <v>7.998</v>
      </c>
      <c r="G117" s="16">
        <f>E117*1.16666</f>
        <v>349.998</v>
      </c>
      <c r="H117" s="16">
        <f t="shared" si="2"/>
        <v>6.99996</v>
      </c>
      <c r="I117" s="18">
        <f t="shared" si="3"/>
        <v>1</v>
      </c>
      <c r="J117" s="19" t="s">
        <v>243</v>
      </c>
    </row>
    <row r="118" ht="15.75" customHeight="1">
      <c r="A118" s="13" t="s">
        <v>244</v>
      </c>
      <c r="B118" s="14" t="s">
        <v>245</v>
      </c>
      <c r="C118" s="15">
        <v>50.0</v>
      </c>
      <c r="D118" s="16">
        <f t="shared" si="1"/>
        <v>4.5</v>
      </c>
      <c r="E118" s="17">
        <v>225.0</v>
      </c>
      <c r="F118" s="16">
        <f t="shared" si="34"/>
        <v>5.9985</v>
      </c>
      <c r="G118" s="16">
        <f>E118*1.2222</f>
        <v>274.995</v>
      </c>
      <c r="H118" s="16">
        <f t="shared" si="2"/>
        <v>5.4999</v>
      </c>
      <c r="I118" s="18">
        <f t="shared" si="3"/>
        <v>1</v>
      </c>
      <c r="J118" s="19" t="s">
        <v>246</v>
      </c>
    </row>
    <row r="119" ht="15.75" customHeight="1">
      <c r="A119" s="13" t="s">
        <v>247</v>
      </c>
      <c r="B119" s="31" t="s">
        <v>248</v>
      </c>
      <c r="C119" s="15">
        <v>50.0</v>
      </c>
      <c r="D119" s="16">
        <f t="shared" si="1"/>
        <v>3.2</v>
      </c>
      <c r="E119" s="17">
        <v>160.0</v>
      </c>
      <c r="F119" s="16">
        <f>D119*1.564</f>
        <v>5.0048</v>
      </c>
      <c r="G119" s="16">
        <f>E119*1.31249</f>
        <v>209.9984</v>
      </c>
      <c r="H119" s="16">
        <f t="shared" si="2"/>
        <v>4.199968</v>
      </c>
      <c r="I119" s="18">
        <f t="shared" si="3"/>
        <v>1</v>
      </c>
      <c r="J119" s="19" t="s">
        <v>249</v>
      </c>
    </row>
    <row r="120" ht="15.75" customHeight="1">
      <c r="A120" s="13" t="s">
        <v>250</v>
      </c>
      <c r="B120" s="14" t="s">
        <v>251</v>
      </c>
      <c r="C120" s="15">
        <v>50.0</v>
      </c>
      <c r="D120" s="16">
        <f t="shared" si="1"/>
        <v>3.8</v>
      </c>
      <c r="E120" s="17">
        <v>190.0</v>
      </c>
      <c r="F120" s="16">
        <f>D120*1.315</f>
        <v>4.997</v>
      </c>
      <c r="G120" s="16">
        <f>E120*1.26315</f>
        <v>239.9985</v>
      </c>
      <c r="H120" s="16">
        <f t="shared" si="2"/>
        <v>4.79997</v>
      </c>
      <c r="I120" s="18">
        <f t="shared" si="3"/>
        <v>1</v>
      </c>
      <c r="J120" s="19" t="s">
        <v>78</v>
      </c>
    </row>
    <row r="121" ht="15.75" customHeight="1">
      <c r="A121" s="13" t="s">
        <v>252</v>
      </c>
      <c r="B121" s="14" t="s">
        <v>253</v>
      </c>
      <c r="C121" s="15">
        <v>5.0</v>
      </c>
      <c r="D121" s="16">
        <f t="shared" si="1"/>
        <v>60</v>
      </c>
      <c r="E121" s="17">
        <v>300.0</v>
      </c>
      <c r="F121" s="16">
        <f t="shared" ref="F121:G121" si="35">D121*1.0834</f>
        <v>65.004</v>
      </c>
      <c r="G121" s="16">
        <f t="shared" si="35"/>
        <v>325.02</v>
      </c>
      <c r="H121" s="16">
        <f t="shared" si="2"/>
        <v>65.004</v>
      </c>
      <c r="I121" s="18">
        <f t="shared" si="3"/>
        <v>1</v>
      </c>
      <c r="J121" s="19">
        <v>70.0</v>
      </c>
    </row>
    <row r="122" ht="15.75" customHeight="1">
      <c r="A122" s="13" t="s">
        <v>254</v>
      </c>
      <c r="B122" s="14" t="s">
        <v>255</v>
      </c>
      <c r="C122" s="15">
        <v>25.0</v>
      </c>
      <c r="D122" s="16">
        <f t="shared" si="1"/>
        <v>28</v>
      </c>
      <c r="E122" s="17">
        <v>700.0</v>
      </c>
      <c r="F122" s="16">
        <f>D122*1.143</f>
        <v>32.004</v>
      </c>
      <c r="G122" s="16">
        <f>E122*1.072</f>
        <v>750.4</v>
      </c>
      <c r="H122" s="16">
        <f t="shared" si="2"/>
        <v>30.016</v>
      </c>
      <c r="I122" s="18">
        <f t="shared" si="3"/>
        <v>1</v>
      </c>
      <c r="J122" s="19">
        <v>35.0</v>
      </c>
    </row>
    <row r="123" ht="15.75" customHeight="1">
      <c r="A123" s="13" t="s">
        <v>256</v>
      </c>
      <c r="B123" s="14" t="s">
        <v>257</v>
      </c>
      <c r="C123" s="15">
        <v>25.0</v>
      </c>
      <c r="D123" s="16">
        <f t="shared" si="1"/>
        <v>12.5</v>
      </c>
      <c r="E123" s="17">
        <v>312.5</v>
      </c>
      <c r="F123" s="16">
        <f>D123*1.4</f>
        <v>17.5</v>
      </c>
      <c r="G123" s="16">
        <f>E123*1.2</f>
        <v>375</v>
      </c>
      <c r="H123" s="16">
        <f t="shared" si="2"/>
        <v>15</v>
      </c>
      <c r="I123" s="18">
        <f t="shared" si="3"/>
        <v>1</v>
      </c>
      <c r="J123" s="19">
        <v>20.0</v>
      </c>
    </row>
    <row r="124" ht="15.75" customHeight="1">
      <c r="A124" s="13" t="s">
        <v>258</v>
      </c>
      <c r="B124" s="31" t="s">
        <v>259</v>
      </c>
      <c r="C124" s="15">
        <v>25.0</v>
      </c>
      <c r="D124" s="16">
        <f t="shared" si="1"/>
        <v>24</v>
      </c>
      <c r="E124" s="17">
        <v>600.0</v>
      </c>
      <c r="F124" s="16">
        <f>D124*1.125</f>
        <v>27</v>
      </c>
      <c r="G124" s="16">
        <f>E124*1.08</f>
        <v>648</v>
      </c>
      <c r="H124" s="16">
        <f t="shared" si="2"/>
        <v>25.92</v>
      </c>
      <c r="I124" s="18">
        <f t="shared" si="3"/>
        <v>1</v>
      </c>
      <c r="J124" s="19">
        <v>30.0</v>
      </c>
    </row>
    <row r="125" ht="15.75" customHeight="1">
      <c r="A125" s="13" t="s">
        <v>260</v>
      </c>
      <c r="B125" s="14" t="s">
        <v>261</v>
      </c>
      <c r="C125" s="15">
        <v>5.0</v>
      </c>
      <c r="D125" s="16">
        <f t="shared" si="1"/>
        <v>30</v>
      </c>
      <c r="E125" s="17">
        <v>150.0</v>
      </c>
      <c r="F125" s="16">
        <f>D125*1.1</f>
        <v>33</v>
      </c>
      <c r="G125" s="16">
        <f>E125*1.07</f>
        <v>160.5</v>
      </c>
      <c r="H125" s="16">
        <f t="shared" si="2"/>
        <v>32.1</v>
      </c>
      <c r="I125" s="18">
        <f t="shared" si="3"/>
        <v>1</v>
      </c>
      <c r="J125" s="19">
        <v>35.0</v>
      </c>
    </row>
    <row r="126" ht="15.75" customHeight="1">
      <c r="A126" s="13" t="s">
        <v>262</v>
      </c>
      <c r="B126" s="14" t="s">
        <v>263</v>
      </c>
      <c r="C126" s="15">
        <v>25.0</v>
      </c>
      <c r="D126" s="16">
        <f t="shared" si="1"/>
        <v>4.4</v>
      </c>
      <c r="E126" s="17">
        <v>110.0</v>
      </c>
      <c r="F126" s="16">
        <f>D126*1.5899</f>
        <v>6.99556</v>
      </c>
      <c r="G126" s="16">
        <f>E126*1.25</f>
        <v>137.5</v>
      </c>
      <c r="H126" s="16">
        <f t="shared" si="2"/>
        <v>5.5</v>
      </c>
      <c r="I126" s="18">
        <f t="shared" si="3"/>
        <v>1</v>
      </c>
      <c r="J126" s="19">
        <v>8.0</v>
      </c>
    </row>
    <row r="127" ht="15.75" customHeight="1">
      <c r="A127" s="13" t="s">
        <v>264</v>
      </c>
      <c r="B127" s="14" t="s">
        <v>265</v>
      </c>
      <c r="C127" s="15">
        <v>25.0</v>
      </c>
      <c r="D127" s="16">
        <f t="shared" si="1"/>
        <v>4.708</v>
      </c>
      <c r="E127" s="17">
        <v>117.7</v>
      </c>
      <c r="F127" s="16">
        <f>D127*1.487</f>
        <v>7.000796</v>
      </c>
      <c r="G127" s="16">
        <f>E127*1.2107</f>
        <v>142.49939</v>
      </c>
      <c r="H127" s="16">
        <f t="shared" si="2"/>
        <v>5.6999756</v>
      </c>
      <c r="I127" s="18">
        <f t="shared" si="3"/>
        <v>1</v>
      </c>
      <c r="J127" s="19">
        <v>8.0</v>
      </c>
    </row>
    <row r="128" ht="15.75" customHeight="1">
      <c r="A128" s="13" t="s">
        <v>266</v>
      </c>
      <c r="B128" s="14" t="s">
        <v>267</v>
      </c>
      <c r="C128" s="15">
        <v>25.0</v>
      </c>
      <c r="D128" s="16">
        <f t="shared" si="1"/>
        <v>4.1</v>
      </c>
      <c r="E128" s="17">
        <v>102.5</v>
      </c>
      <c r="F128" s="16">
        <f>D128*1.585</f>
        <v>6.4985</v>
      </c>
      <c r="G128" s="16">
        <f>E128*1.2244</f>
        <v>125.501</v>
      </c>
      <c r="H128" s="16">
        <f t="shared" si="2"/>
        <v>5.02004</v>
      </c>
      <c r="I128" s="18">
        <f t="shared" si="3"/>
        <v>1</v>
      </c>
      <c r="J128" s="19">
        <v>8.0</v>
      </c>
    </row>
    <row r="129" ht="15.75" customHeight="1">
      <c r="A129" s="13" t="s">
        <v>268</v>
      </c>
      <c r="B129" s="14" t="s">
        <v>269</v>
      </c>
      <c r="C129" s="15">
        <v>25.0</v>
      </c>
      <c r="D129" s="16">
        <f t="shared" si="1"/>
        <v>5.5</v>
      </c>
      <c r="E129" s="17">
        <v>137.5</v>
      </c>
      <c r="F129" s="16">
        <f>D129*1.455</f>
        <v>8.0025</v>
      </c>
      <c r="G129" s="16">
        <f>E129*1.182</f>
        <v>162.525</v>
      </c>
      <c r="H129" s="16">
        <f t="shared" si="2"/>
        <v>6.501</v>
      </c>
      <c r="I129" s="18">
        <f t="shared" si="3"/>
        <v>1</v>
      </c>
      <c r="J129" s="19">
        <v>10.0</v>
      </c>
    </row>
    <row r="130" ht="15.75" customHeight="1">
      <c r="A130" s="13" t="s">
        <v>270</v>
      </c>
      <c r="B130" s="14" t="s">
        <v>271</v>
      </c>
      <c r="C130" s="15">
        <v>10.0</v>
      </c>
      <c r="D130" s="16">
        <f t="shared" si="1"/>
        <v>12</v>
      </c>
      <c r="E130" s="17">
        <v>120.0</v>
      </c>
      <c r="F130" s="16">
        <f>D130*1.3333</f>
        <v>15.9996</v>
      </c>
      <c r="G130" s="16">
        <f>E130*1.16666</f>
        <v>139.9992</v>
      </c>
      <c r="H130" s="16">
        <f t="shared" si="2"/>
        <v>13.99992</v>
      </c>
      <c r="I130" s="18">
        <f t="shared" si="3"/>
        <v>1</v>
      </c>
      <c r="J130" s="19">
        <v>18.0</v>
      </c>
    </row>
    <row r="131" ht="15.75" customHeight="1">
      <c r="A131" s="13" t="s">
        <v>272</v>
      </c>
      <c r="B131" s="14" t="s">
        <v>273</v>
      </c>
      <c r="C131" s="15">
        <v>5.0</v>
      </c>
      <c r="D131" s="16">
        <f t="shared" si="1"/>
        <v>12</v>
      </c>
      <c r="E131" s="17">
        <v>60.0</v>
      </c>
      <c r="F131" s="16">
        <f>D131*1.417</f>
        <v>17.004</v>
      </c>
      <c r="G131" s="16">
        <f>E131*1.4166</f>
        <v>84.996</v>
      </c>
      <c r="H131" s="16">
        <f t="shared" si="2"/>
        <v>16.9992</v>
      </c>
      <c r="I131" s="18">
        <f t="shared" si="3"/>
        <v>1</v>
      </c>
      <c r="J131" s="19">
        <v>20.0</v>
      </c>
    </row>
    <row r="132" ht="15.75" customHeight="1">
      <c r="A132" s="13" t="s">
        <v>274</v>
      </c>
      <c r="B132" s="14" t="s">
        <v>275</v>
      </c>
      <c r="C132" s="15">
        <v>10.0</v>
      </c>
      <c r="D132" s="16">
        <f t="shared" si="1"/>
        <v>18</v>
      </c>
      <c r="E132" s="17">
        <v>180.0</v>
      </c>
      <c r="F132" s="16">
        <f>D132*1.5</f>
        <v>27</v>
      </c>
      <c r="G132" s="16">
        <f>E132*1.4</f>
        <v>252</v>
      </c>
      <c r="H132" s="16">
        <f t="shared" si="2"/>
        <v>25.2</v>
      </c>
      <c r="I132" s="18">
        <f t="shared" si="3"/>
        <v>1</v>
      </c>
      <c r="J132" s="19">
        <v>30.0</v>
      </c>
    </row>
    <row r="133" ht="15.75" customHeight="1">
      <c r="A133" s="13" t="s">
        <v>276</v>
      </c>
      <c r="B133" s="14" t="s">
        <v>277</v>
      </c>
      <c r="C133" s="15">
        <v>25.0</v>
      </c>
      <c r="D133" s="16">
        <f t="shared" si="1"/>
        <v>12.5</v>
      </c>
      <c r="E133" s="17">
        <v>312.5</v>
      </c>
      <c r="F133" s="16">
        <f>D133*1.2</f>
        <v>15</v>
      </c>
      <c r="G133" s="16">
        <f>E133*1.096</f>
        <v>342.5</v>
      </c>
      <c r="H133" s="16">
        <f t="shared" si="2"/>
        <v>13.7</v>
      </c>
      <c r="I133" s="18">
        <f t="shared" si="3"/>
        <v>1</v>
      </c>
      <c r="J133" s="19">
        <v>16.0</v>
      </c>
    </row>
    <row r="134" ht="15.75" customHeight="1">
      <c r="A134" s="13" t="s">
        <v>278</v>
      </c>
      <c r="B134" s="14" t="s">
        <v>279</v>
      </c>
      <c r="C134" s="15">
        <v>25.0</v>
      </c>
      <c r="D134" s="16">
        <f t="shared" si="1"/>
        <v>14</v>
      </c>
      <c r="E134" s="17">
        <v>350.0</v>
      </c>
      <c r="F134" s="16">
        <f>D134*1.1788</f>
        <v>16.5032</v>
      </c>
      <c r="G134" s="16">
        <f>E134*1.0857</f>
        <v>379.995</v>
      </c>
      <c r="H134" s="16">
        <f t="shared" si="2"/>
        <v>15.1998</v>
      </c>
      <c r="I134" s="18">
        <f t="shared" si="3"/>
        <v>1</v>
      </c>
      <c r="J134" s="19">
        <v>17.0</v>
      </c>
    </row>
    <row r="135" ht="15.75" customHeight="1">
      <c r="A135" s="13" t="s">
        <v>280</v>
      </c>
      <c r="B135" s="14" t="s">
        <v>281</v>
      </c>
      <c r="C135" s="15">
        <v>40.0</v>
      </c>
      <c r="D135" s="16">
        <f t="shared" si="1"/>
        <v>15.5</v>
      </c>
      <c r="E135" s="17">
        <v>620.0</v>
      </c>
      <c r="F135" s="16">
        <f>D135*1.097</f>
        <v>17.0035</v>
      </c>
      <c r="G135" s="16">
        <f>E135*1.06452</f>
        <v>660.0024</v>
      </c>
      <c r="H135" s="16">
        <f t="shared" si="2"/>
        <v>16.50006</v>
      </c>
      <c r="I135" s="18">
        <f t="shared" si="3"/>
        <v>1</v>
      </c>
      <c r="J135" s="19">
        <v>18.0</v>
      </c>
    </row>
    <row r="136" ht="15.75" customHeight="1">
      <c r="A136" s="13" t="s">
        <v>282</v>
      </c>
      <c r="B136" s="14" t="s">
        <v>283</v>
      </c>
      <c r="C136" s="15">
        <v>40.0</v>
      </c>
      <c r="D136" s="16">
        <f t="shared" si="1"/>
        <v>15</v>
      </c>
      <c r="E136" s="17">
        <v>600.0</v>
      </c>
      <c r="F136" s="16">
        <f>D136*1.2</f>
        <v>18</v>
      </c>
      <c r="G136" s="16">
        <f>E136*1.099999</f>
        <v>659.9994</v>
      </c>
      <c r="H136" s="16">
        <f t="shared" si="2"/>
        <v>16.499985</v>
      </c>
      <c r="I136" s="18">
        <f t="shared" si="3"/>
        <v>1</v>
      </c>
      <c r="J136" s="19">
        <v>20.0</v>
      </c>
    </row>
    <row r="137" ht="15.75" customHeight="1">
      <c r="A137" s="13" t="s">
        <v>284</v>
      </c>
      <c r="B137" s="14" t="s">
        <v>285</v>
      </c>
      <c r="C137" s="15">
        <v>25.0</v>
      </c>
      <c r="D137" s="16">
        <f t="shared" si="1"/>
        <v>23.5</v>
      </c>
      <c r="E137" s="17">
        <v>587.5</v>
      </c>
      <c r="F137" s="16">
        <f>D137*1.064</f>
        <v>25.004</v>
      </c>
      <c r="G137" s="16">
        <f>E137*1.05107</f>
        <v>617.503625</v>
      </c>
      <c r="H137" s="16">
        <f t="shared" si="2"/>
        <v>24.700145</v>
      </c>
      <c r="I137" s="18">
        <f t="shared" si="3"/>
        <v>1</v>
      </c>
      <c r="J137" s="19">
        <v>26.0</v>
      </c>
    </row>
    <row r="138" ht="15.75" customHeight="1">
      <c r="A138" s="13" t="s">
        <v>286</v>
      </c>
      <c r="B138" s="14" t="s">
        <v>287</v>
      </c>
      <c r="C138" s="15">
        <v>25.0</v>
      </c>
      <c r="D138" s="16">
        <f t="shared" si="1"/>
        <v>95</v>
      </c>
      <c r="E138" s="17">
        <v>2375.0</v>
      </c>
      <c r="F138" s="16">
        <f>D138*1.2105</f>
        <v>114.9975</v>
      </c>
      <c r="G138" s="16">
        <f>E138*1.1</f>
        <v>2612.5</v>
      </c>
      <c r="H138" s="16">
        <f t="shared" si="2"/>
        <v>104.5</v>
      </c>
      <c r="I138" s="18">
        <f t="shared" si="3"/>
        <v>1</v>
      </c>
      <c r="J138" s="19">
        <v>120.0</v>
      </c>
    </row>
    <row r="139" ht="15.75" customHeight="1">
      <c r="A139" s="13" t="s">
        <v>288</v>
      </c>
      <c r="B139" s="14" t="s">
        <v>289</v>
      </c>
      <c r="C139" s="15">
        <v>5.0</v>
      </c>
      <c r="D139" s="16">
        <f t="shared" si="1"/>
        <v>22</v>
      </c>
      <c r="E139" s="17">
        <v>110.0</v>
      </c>
      <c r="F139" s="16">
        <f>D139*1.2274</f>
        <v>27.0028</v>
      </c>
      <c r="G139" s="16">
        <f>E139*1.1364</f>
        <v>125.004</v>
      </c>
      <c r="H139" s="16">
        <f t="shared" si="2"/>
        <v>25.0008</v>
      </c>
      <c r="I139" s="18">
        <f t="shared" si="3"/>
        <v>1</v>
      </c>
      <c r="J139" s="19">
        <v>30.0</v>
      </c>
    </row>
    <row r="140" ht="15.75" customHeight="1">
      <c r="A140" s="13" t="s">
        <v>290</v>
      </c>
      <c r="B140" s="31" t="s">
        <v>291</v>
      </c>
      <c r="C140" s="15">
        <v>5.0</v>
      </c>
      <c r="D140" s="16">
        <f t="shared" si="1"/>
        <v>55</v>
      </c>
      <c r="E140" s="17">
        <v>275.0</v>
      </c>
      <c r="F140" s="16">
        <f>D140*1.0545</f>
        <v>57.9975</v>
      </c>
      <c r="G140" s="16">
        <f>E140*1.0364</f>
        <v>285.01</v>
      </c>
      <c r="H140" s="16">
        <f t="shared" si="2"/>
        <v>57.002</v>
      </c>
      <c r="I140" s="18">
        <f t="shared" si="3"/>
        <v>1</v>
      </c>
      <c r="J140" s="19">
        <v>60.0</v>
      </c>
    </row>
    <row r="141" ht="15.75" customHeight="1">
      <c r="A141" s="13" t="s">
        <v>292</v>
      </c>
      <c r="B141" s="35" t="s">
        <v>293</v>
      </c>
      <c r="C141" s="36">
        <v>10.0</v>
      </c>
      <c r="D141" s="37">
        <f t="shared" si="1"/>
        <v>4</v>
      </c>
      <c r="E141" s="38">
        <v>40.0</v>
      </c>
      <c r="F141" s="37">
        <f>D141*1.999</f>
        <v>7.996</v>
      </c>
      <c r="G141" s="37">
        <f>E141*1.7</f>
        <v>68</v>
      </c>
      <c r="H141" s="37">
        <f t="shared" si="2"/>
        <v>6.8</v>
      </c>
      <c r="I141" s="18">
        <f t="shared" si="3"/>
        <v>1</v>
      </c>
      <c r="J141" s="19">
        <v>16.0</v>
      </c>
      <c r="K141" s="39" t="s">
        <v>294</v>
      </c>
    </row>
    <row r="142" ht="15.75" customHeight="1">
      <c r="A142" s="13" t="s">
        <v>295</v>
      </c>
      <c r="B142" s="14" t="s">
        <v>296</v>
      </c>
      <c r="C142" s="15">
        <v>25.0</v>
      </c>
      <c r="D142" s="16">
        <f t="shared" si="1"/>
        <v>11</v>
      </c>
      <c r="E142" s="17">
        <v>275.0</v>
      </c>
      <c r="F142" s="16">
        <f>D142*1.273</f>
        <v>14.003</v>
      </c>
      <c r="G142" s="16">
        <f>E142*1.1091</f>
        <v>305.0025</v>
      </c>
      <c r="H142" s="16">
        <f t="shared" si="2"/>
        <v>12.2001</v>
      </c>
      <c r="I142" s="18">
        <f t="shared" si="3"/>
        <v>1</v>
      </c>
      <c r="J142" s="19">
        <v>16.0</v>
      </c>
    </row>
    <row r="143" ht="15.75" customHeight="1">
      <c r="A143" s="13" t="s">
        <v>297</v>
      </c>
      <c r="B143" s="14" t="s">
        <v>298</v>
      </c>
      <c r="C143" s="15">
        <v>5.0</v>
      </c>
      <c r="D143" s="16">
        <f t="shared" si="1"/>
        <v>20</v>
      </c>
      <c r="E143" s="17">
        <v>100.0</v>
      </c>
      <c r="F143" s="16">
        <f t="shared" ref="F143:F144" si="36">D143*1.25</f>
        <v>25</v>
      </c>
      <c r="G143" s="16">
        <f t="shared" ref="G143:G144" si="37">E143*1.15</f>
        <v>115</v>
      </c>
      <c r="H143" s="16">
        <f t="shared" si="2"/>
        <v>23</v>
      </c>
      <c r="I143" s="18">
        <f t="shared" si="3"/>
        <v>1</v>
      </c>
      <c r="J143" s="19">
        <v>30.0</v>
      </c>
    </row>
    <row r="144" ht="15.75" customHeight="1">
      <c r="A144" s="13" t="s">
        <v>299</v>
      </c>
      <c r="B144" s="14" t="s">
        <v>300</v>
      </c>
      <c r="C144" s="15">
        <v>5.0</v>
      </c>
      <c r="D144" s="16">
        <f t="shared" si="1"/>
        <v>20</v>
      </c>
      <c r="E144" s="17">
        <v>100.0</v>
      </c>
      <c r="F144" s="16">
        <f t="shared" si="36"/>
        <v>25</v>
      </c>
      <c r="G144" s="16">
        <f t="shared" si="37"/>
        <v>115</v>
      </c>
      <c r="H144" s="16">
        <f t="shared" si="2"/>
        <v>23</v>
      </c>
      <c r="I144" s="18">
        <f t="shared" si="3"/>
        <v>1</v>
      </c>
      <c r="J144" s="19">
        <v>30.0</v>
      </c>
    </row>
    <row r="145" ht="15.75" customHeight="1">
      <c r="A145" s="13" t="s">
        <v>301</v>
      </c>
      <c r="B145" s="14" t="s">
        <v>302</v>
      </c>
      <c r="C145" s="15">
        <v>5.0</v>
      </c>
      <c r="D145" s="16">
        <f t="shared" si="1"/>
        <v>25</v>
      </c>
      <c r="E145" s="17">
        <v>125.0</v>
      </c>
      <c r="F145" s="16">
        <f>D145*1.12</f>
        <v>28</v>
      </c>
      <c r="G145" s="16">
        <f>E145*1.08</f>
        <v>135</v>
      </c>
      <c r="H145" s="16">
        <f t="shared" si="2"/>
        <v>27</v>
      </c>
      <c r="I145" s="18">
        <f t="shared" si="3"/>
        <v>1</v>
      </c>
      <c r="J145" s="19">
        <v>40.0</v>
      </c>
    </row>
    <row r="146" ht="15.75" customHeight="1">
      <c r="A146" s="13" t="s">
        <v>303</v>
      </c>
      <c r="B146" s="14" t="s">
        <v>304</v>
      </c>
      <c r="C146" s="15">
        <v>5.0</v>
      </c>
      <c r="D146" s="16">
        <f t="shared" si="1"/>
        <v>22</v>
      </c>
      <c r="E146" s="17">
        <v>110.0</v>
      </c>
      <c r="F146" s="16">
        <f>D146*1.2274</f>
        <v>27.0028</v>
      </c>
      <c r="G146" s="16">
        <f>E146*1.1363333</f>
        <v>124.996663</v>
      </c>
      <c r="H146" s="16">
        <f t="shared" si="2"/>
        <v>24.9993326</v>
      </c>
      <c r="I146" s="39">
        <v>1.0</v>
      </c>
      <c r="J146" s="19">
        <v>30.0</v>
      </c>
    </row>
    <row r="147" ht="15.75" customHeight="1">
      <c r="A147" s="13" t="s">
        <v>305</v>
      </c>
      <c r="B147" s="14" t="s">
        <v>306</v>
      </c>
      <c r="C147" s="15">
        <v>20.0</v>
      </c>
      <c r="D147" s="16">
        <f t="shared" si="1"/>
        <v>25</v>
      </c>
      <c r="E147" s="17">
        <v>500.0</v>
      </c>
      <c r="F147" s="16">
        <f t="shared" ref="F147:G147" si="38">D147*1.2</f>
        <v>30</v>
      </c>
      <c r="G147" s="16">
        <f t="shared" si="38"/>
        <v>600</v>
      </c>
      <c r="H147" s="16">
        <f t="shared" si="2"/>
        <v>30</v>
      </c>
      <c r="I147" s="18">
        <f t="shared" ref="I147:I550" si="39">COUNTIF(B147:B587,B147)</f>
        <v>1</v>
      </c>
      <c r="J147" s="19">
        <v>40.0</v>
      </c>
    </row>
    <row r="148" ht="15.75" customHeight="1">
      <c r="A148" s="13" t="s">
        <v>307</v>
      </c>
      <c r="B148" s="21" t="s">
        <v>308</v>
      </c>
      <c r="C148" s="32" t="s">
        <v>166</v>
      </c>
      <c r="D148" s="23" t="str">
        <f t="shared" si="1"/>
        <v>#VALUE!</v>
      </c>
      <c r="E148" s="23">
        <v>0.0</v>
      </c>
      <c r="F148" s="23" t="str">
        <f>D148*1.8</f>
        <v>#VALUE!</v>
      </c>
      <c r="G148" s="23">
        <f>E148*1.5</f>
        <v>0</v>
      </c>
      <c r="H148" s="23" t="str">
        <f t="shared" si="2"/>
        <v>#VALUE!</v>
      </c>
      <c r="I148" s="33">
        <f t="shared" si="39"/>
        <v>1</v>
      </c>
      <c r="J148" s="34"/>
    </row>
    <row r="149" ht="15.75" customHeight="1">
      <c r="A149" s="13" t="s">
        <v>309</v>
      </c>
      <c r="B149" s="31" t="s">
        <v>310</v>
      </c>
      <c r="C149" s="15">
        <v>10.0</v>
      </c>
      <c r="D149" s="16">
        <f t="shared" si="1"/>
        <v>25</v>
      </c>
      <c r="E149" s="17">
        <v>250.0</v>
      </c>
      <c r="F149" s="16">
        <f>D149*1.34</f>
        <v>33.5</v>
      </c>
      <c r="G149" s="16">
        <f>E149*1.2</f>
        <v>300</v>
      </c>
      <c r="H149" s="16">
        <f t="shared" si="2"/>
        <v>30</v>
      </c>
      <c r="I149" s="18">
        <f t="shared" si="39"/>
        <v>1</v>
      </c>
      <c r="J149" s="19">
        <v>40.0</v>
      </c>
    </row>
    <row r="150" ht="15.75" customHeight="1">
      <c r="A150" s="13" t="s">
        <v>311</v>
      </c>
      <c r="B150" s="31" t="s">
        <v>312</v>
      </c>
      <c r="C150" s="15">
        <v>70.0</v>
      </c>
      <c r="D150" s="16">
        <f t="shared" si="1"/>
        <v>16.5</v>
      </c>
      <c r="E150" s="17">
        <v>1155.0</v>
      </c>
      <c r="F150" s="16">
        <f>D150*1.303</f>
        <v>21.4995</v>
      </c>
      <c r="G150" s="16">
        <f>E150*1.1</f>
        <v>1270.5</v>
      </c>
      <c r="H150" s="16">
        <f t="shared" si="2"/>
        <v>18.15</v>
      </c>
      <c r="I150" s="18">
        <f t="shared" si="39"/>
        <v>1</v>
      </c>
      <c r="J150" s="19">
        <v>25.0</v>
      </c>
    </row>
    <row r="151" ht="15.75" customHeight="1">
      <c r="A151" s="13" t="s">
        <v>313</v>
      </c>
      <c r="B151" s="31" t="s">
        <v>314</v>
      </c>
      <c r="C151" s="15">
        <v>60.0</v>
      </c>
      <c r="D151" s="16">
        <f t="shared" si="1"/>
        <v>34</v>
      </c>
      <c r="E151" s="17">
        <v>2040.0</v>
      </c>
      <c r="F151" s="16">
        <f>D151*1.1177</f>
        <v>38.0018</v>
      </c>
      <c r="G151" s="16">
        <f>E151*1.0589</f>
        <v>2160.156</v>
      </c>
      <c r="H151" s="16">
        <f t="shared" si="2"/>
        <v>36.0026</v>
      </c>
      <c r="I151" s="18">
        <f t="shared" si="39"/>
        <v>1</v>
      </c>
      <c r="J151" s="19">
        <v>40.0</v>
      </c>
    </row>
    <row r="152" ht="15.75" customHeight="1">
      <c r="A152" s="13" t="s">
        <v>315</v>
      </c>
      <c r="B152" s="31" t="s">
        <v>316</v>
      </c>
      <c r="C152" s="15">
        <v>60.0</v>
      </c>
      <c r="D152" s="16">
        <f t="shared" si="1"/>
        <v>14</v>
      </c>
      <c r="E152" s="17">
        <v>840.0</v>
      </c>
      <c r="F152" s="16">
        <f>D152*1.2855</f>
        <v>17.997</v>
      </c>
      <c r="G152" s="16">
        <f>E152*1.15</f>
        <v>966</v>
      </c>
      <c r="H152" s="16">
        <f t="shared" si="2"/>
        <v>16.1</v>
      </c>
      <c r="I152" s="18">
        <f t="shared" si="39"/>
        <v>1</v>
      </c>
      <c r="J152" s="19">
        <v>20.0</v>
      </c>
    </row>
    <row r="153" ht="15.75" customHeight="1">
      <c r="A153" s="13" t="s">
        <v>317</v>
      </c>
      <c r="B153" s="31" t="s">
        <v>318</v>
      </c>
      <c r="C153" s="15">
        <v>60.0</v>
      </c>
      <c r="D153" s="16">
        <f t="shared" si="1"/>
        <v>23</v>
      </c>
      <c r="E153" s="17">
        <v>1380.0</v>
      </c>
      <c r="F153" s="16">
        <f>D153*1.174</f>
        <v>27.002</v>
      </c>
      <c r="G153" s="16">
        <f>E153*1.1</f>
        <v>1518</v>
      </c>
      <c r="H153" s="16">
        <f t="shared" si="2"/>
        <v>25.3</v>
      </c>
      <c r="I153" s="18">
        <f t="shared" si="39"/>
        <v>1</v>
      </c>
      <c r="J153" s="19">
        <v>30.0</v>
      </c>
    </row>
    <row r="154" ht="15.75" customHeight="1">
      <c r="A154" s="13" t="s">
        <v>319</v>
      </c>
      <c r="B154" s="31" t="s">
        <v>320</v>
      </c>
      <c r="C154" s="15">
        <v>30.0</v>
      </c>
      <c r="D154" s="16">
        <f t="shared" si="1"/>
        <v>14</v>
      </c>
      <c r="E154" s="17">
        <v>420.0</v>
      </c>
      <c r="F154" s="16">
        <f>D154*1.25</f>
        <v>17.5</v>
      </c>
      <c r="G154" s="16">
        <f t="shared" ref="G154:G156" si="40">E154*1.15</f>
        <v>483</v>
      </c>
      <c r="H154" s="16">
        <f t="shared" si="2"/>
        <v>16.1</v>
      </c>
      <c r="I154" s="18">
        <f t="shared" si="39"/>
        <v>1</v>
      </c>
      <c r="J154" s="19">
        <v>20.0</v>
      </c>
    </row>
    <row r="155" ht="15.75" customHeight="1">
      <c r="A155" s="13" t="s">
        <v>321</v>
      </c>
      <c r="B155" s="31" t="s">
        <v>322</v>
      </c>
      <c r="C155" s="15">
        <v>20.0</v>
      </c>
      <c r="D155" s="16">
        <f t="shared" si="1"/>
        <v>22</v>
      </c>
      <c r="E155" s="17">
        <v>440.0</v>
      </c>
      <c r="F155" s="16">
        <f>D155*1.1589</f>
        <v>25.4958</v>
      </c>
      <c r="G155" s="16">
        <f t="shared" si="40"/>
        <v>506</v>
      </c>
      <c r="H155" s="16">
        <f t="shared" si="2"/>
        <v>25.3</v>
      </c>
      <c r="I155" s="18">
        <f t="shared" si="39"/>
        <v>1</v>
      </c>
      <c r="J155" s="19">
        <v>30.0</v>
      </c>
    </row>
    <row r="156" ht="15.75" customHeight="1">
      <c r="A156" s="13" t="s">
        <v>323</v>
      </c>
      <c r="B156" s="31" t="s">
        <v>324</v>
      </c>
      <c r="C156" s="15">
        <v>10.0</v>
      </c>
      <c r="D156" s="16">
        <f t="shared" si="1"/>
        <v>14</v>
      </c>
      <c r="E156" s="17">
        <v>140.0</v>
      </c>
      <c r="F156" s="16">
        <f>D156*1.214</f>
        <v>16.996</v>
      </c>
      <c r="G156" s="16">
        <f t="shared" si="40"/>
        <v>161</v>
      </c>
      <c r="H156" s="16">
        <f t="shared" si="2"/>
        <v>16.1</v>
      </c>
      <c r="I156" s="18">
        <f t="shared" si="39"/>
        <v>1</v>
      </c>
      <c r="J156" s="19">
        <v>20.0</v>
      </c>
    </row>
    <row r="157" ht="15.75" customHeight="1">
      <c r="A157" s="13" t="s">
        <v>325</v>
      </c>
      <c r="B157" s="14" t="s">
        <v>326</v>
      </c>
      <c r="C157" s="15">
        <v>50.0</v>
      </c>
      <c r="D157" s="16">
        <f t="shared" si="1"/>
        <v>8</v>
      </c>
      <c r="E157" s="17">
        <v>400.0</v>
      </c>
      <c r="F157" s="16">
        <f>D157*1.25</f>
        <v>10</v>
      </c>
      <c r="G157" s="16">
        <f>E157*1.125</f>
        <v>450</v>
      </c>
      <c r="H157" s="16">
        <f t="shared" si="2"/>
        <v>9</v>
      </c>
      <c r="I157" s="18">
        <f t="shared" si="39"/>
        <v>1</v>
      </c>
      <c r="J157" s="19">
        <v>12.0</v>
      </c>
    </row>
    <row r="158" ht="15.75" customHeight="1">
      <c r="A158" s="13" t="s">
        <v>327</v>
      </c>
      <c r="B158" s="31" t="s">
        <v>328</v>
      </c>
      <c r="C158" s="15">
        <v>50.0</v>
      </c>
      <c r="D158" s="16">
        <f t="shared" si="1"/>
        <v>9</v>
      </c>
      <c r="E158" s="17">
        <v>450.0</v>
      </c>
      <c r="F158" s="16">
        <f>D158*1.222</f>
        <v>10.998</v>
      </c>
      <c r="G158" s="16">
        <f>E158*1.1111</f>
        <v>499.995</v>
      </c>
      <c r="H158" s="16">
        <f t="shared" si="2"/>
        <v>9.9999</v>
      </c>
      <c r="I158" s="18">
        <f t="shared" si="39"/>
        <v>1</v>
      </c>
      <c r="J158" s="19">
        <v>12.0</v>
      </c>
    </row>
    <row r="159" ht="15.75" customHeight="1">
      <c r="A159" s="13" t="s">
        <v>329</v>
      </c>
      <c r="B159" s="14" t="s">
        <v>330</v>
      </c>
      <c r="C159" s="15">
        <v>50.0</v>
      </c>
      <c r="D159" s="16">
        <f t="shared" si="1"/>
        <v>11</v>
      </c>
      <c r="E159" s="17">
        <v>550.0</v>
      </c>
      <c r="F159" s="16">
        <f>D159*1.091</f>
        <v>12.001</v>
      </c>
      <c r="G159" s="16">
        <f>E159*1.02778</f>
        <v>565.279</v>
      </c>
      <c r="H159" s="16">
        <f t="shared" si="2"/>
        <v>11.30558</v>
      </c>
      <c r="I159" s="18">
        <f t="shared" si="39"/>
        <v>1</v>
      </c>
      <c r="J159" s="19">
        <v>12.0</v>
      </c>
    </row>
    <row r="160" ht="15.75" customHeight="1">
      <c r="A160" s="13" t="s">
        <v>331</v>
      </c>
      <c r="B160" s="14" t="s">
        <v>332</v>
      </c>
      <c r="C160" s="15">
        <v>50.0</v>
      </c>
      <c r="D160" s="16">
        <f t="shared" si="1"/>
        <v>7</v>
      </c>
      <c r="E160" s="17">
        <v>350.0</v>
      </c>
      <c r="F160" s="16">
        <f>D160*1.072</f>
        <v>7.504</v>
      </c>
      <c r="G160" s="16">
        <f>E160*1.043</f>
        <v>365.05</v>
      </c>
      <c r="H160" s="16">
        <f t="shared" si="2"/>
        <v>7.301</v>
      </c>
      <c r="I160" s="18">
        <f t="shared" si="39"/>
        <v>1</v>
      </c>
      <c r="J160" s="19">
        <v>7.5</v>
      </c>
    </row>
    <row r="161" ht="15.75" customHeight="1">
      <c r="A161" s="13" t="s">
        <v>333</v>
      </c>
      <c r="B161" s="14" t="s">
        <v>334</v>
      </c>
      <c r="C161" s="15">
        <v>50.0</v>
      </c>
      <c r="D161" s="16">
        <f t="shared" si="1"/>
        <v>8</v>
      </c>
      <c r="E161" s="17">
        <v>400.0</v>
      </c>
      <c r="F161" s="16">
        <f>D161*1.25</f>
        <v>10</v>
      </c>
      <c r="G161" s="16">
        <f>E161*1.12499</f>
        <v>449.996</v>
      </c>
      <c r="H161" s="16">
        <f t="shared" si="2"/>
        <v>8.99992</v>
      </c>
      <c r="I161" s="18">
        <f t="shared" si="39"/>
        <v>1</v>
      </c>
      <c r="J161" s="19">
        <v>10.0</v>
      </c>
    </row>
    <row r="162" ht="15.75" customHeight="1">
      <c r="A162" s="13" t="s">
        <v>335</v>
      </c>
      <c r="B162" s="14" t="s">
        <v>336</v>
      </c>
      <c r="C162" s="15">
        <v>50.0</v>
      </c>
      <c r="D162" s="16">
        <f t="shared" si="1"/>
        <v>10</v>
      </c>
      <c r="E162" s="17">
        <v>500.0</v>
      </c>
      <c r="F162" s="16">
        <f>D162*1.1</f>
        <v>11</v>
      </c>
      <c r="G162" s="16">
        <f>E162*1.05</f>
        <v>525</v>
      </c>
      <c r="H162" s="16">
        <f t="shared" si="2"/>
        <v>10.5</v>
      </c>
      <c r="I162" s="18">
        <f t="shared" si="39"/>
        <v>1</v>
      </c>
      <c r="J162" s="19">
        <v>11.0</v>
      </c>
    </row>
    <row r="163" ht="15.75" customHeight="1">
      <c r="A163" s="13" t="s">
        <v>337</v>
      </c>
      <c r="B163" s="14" t="s">
        <v>338</v>
      </c>
      <c r="C163" s="15">
        <v>50.0</v>
      </c>
      <c r="D163" s="16">
        <f t="shared" si="1"/>
        <v>15</v>
      </c>
      <c r="E163" s="17">
        <v>750.0</v>
      </c>
      <c r="F163" s="16">
        <f t="shared" ref="F163:F164" si="41">D163*1.133</f>
        <v>16.995</v>
      </c>
      <c r="G163" s="16">
        <f t="shared" ref="G163:G164" si="42">E163*1.1</f>
        <v>825</v>
      </c>
      <c r="H163" s="16">
        <f t="shared" si="2"/>
        <v>16.5</v>
      </c>
      <c r="I163" s="18">
        <f t="shared" si="39"/>
        <v>1</v>
      </c>
      <c r="J163" s="19">
        <v>20.0</v>
      </c>
    </row>
    <row r="164" ht="15.75" customHeight="1">
      <c r="A164" s="13" t="s">
        <v>339</v>
      </c>
      <c r="B164" s="14" t="s">
        <v>340</v>
      </c>
      <c r="C164" s="15">
        <v>10.0</v>
      </c>
      <c r="D164" s="16">
        <f t="shared" si="1"/>
        <v>15</v>
      </c>
      <c r="E164" s="17">
        <v>150.0</v>
      </c>
      <c r="F164" s="16">
        <f t="shared" si="41"/>
        <v>16.995</v>
      </c>
      <c r="G164" s="16">
        <f t="shared" si="42"/>
        <v>165</v>
      </c>
      <c r="H164" s="16">
        <f t="shared" si="2"/>
        <v>16.5</v>
      </c>
      <c r="I164" s="18">
        <f t="shared" si="39"/>
        <v>1</v>
      </c>
      <c r="J164" s="19" t="s">
        <v>341</v>
      </c>
    </row>
    <row r="165" ht="15.75" customHeight="1">
      <c r="A165" s="13" t="s">
        <v>342</v>
      </c>
      <c r="B165" s="14" t="s">
        <v>343</v>
      </c>
      <c r="C165" s="15">
        <v>10.0</v>
      </c>
      <c r="D165" s="16">
        <f t="shared" si="1"/>
        <v>19</v>
      </c>
      <c r="E165" s="17">
        <v>190.0</v>
      </c>
      <c r="F165" s="16">
        <f>D165*1.158</f>
        <v>22.002</v>
      </c>
      <c r="G165" s="16">
        <f>E165*1.1055</f>
        <v>210.045</v>
      </c>
      <c r="H165" s="16">
        <f t="shared" si="2"/>
        <v>21.0045</v>
      </c>
      <c r="I165" s="18">
        <f t="shared" si="39"/>
        <v>1</v>
      </c>
      <c r="J165" s="19">
        <v>24.0</v>
      </c>
    </row>
    <row r="166" ht="15.75" customHeight="1">
      <c r="A166" s="13" t="s">
        <v>344</v>
      </c>
      <c r="B166" s="14" t="s">
        <v>345</v>
      </c>
      <c r="C166" s="15">
        <v>10.0</v>
      </c>
      <c r="D166" s="16">
        <f t="shared" si="1"/>
        <v>15</v>
      </c>
      <c r="E166" s="17">
        <v>150.0</v>
      </c>
      <c r="F166" s="16">
        <f>D166*1.2</f>
        <v>18</v>
      </c>
      <c r="G166" s="16">
        <f>E166*1.1667</f>
        <v>175.005</v>
      </c>
      <c r="H166" s="16">
        <f t="shared" si="2"/>
        <v>17.5005</v>
      </c>
      <c r="I166" s="18">
        <f t="shared" si="39"/>
        <v>1</v>
      </c>
      <c r="J166" s="19">
        <v>20.0</v>
      </c>
    </row>
    <row r="167" ht="15.75" customHeight="1">
      <c r="A167" s="13" t="s">
        <v>346</v>
      </c>
      <c r="B167" s="14" t="s">
        <v>347</v>
      </c>
      <c r="C167" s="15">
        <v>10.0</v>
      </c>
      <c r="D167" s="16">
        <f t="shared" si="1"/>
        <v>16</v>
      </c>
      <c r="E167" s="17">
        <v>160.0</v>
      </c>
      <c r="F167" s="16">
        <f t="shared" ref="F167:F168" si="43">D167*1.1877</f>
        <v>19.0032</v>
      </c>
      <c r="G167" s="16">
        <f t="shared" ref="G167:G168" si="44">E167*1.125</f>
        <v>180</v>
      </c>
      <c r="H167" s="16">
        <f t="shared" si="2"/>
        <v>18</v>
      </c>
      <c r="I167" s="18">
        <f t="shared" si="39"/>
        <v>1</v>
      </c>
      <c r="J167" s="19">
        <v>20.0</v>
      </c>
    </row>
    <row r="168" ht="15.75" customHeight="1">
      <c r="A168" s="13" t="s">
        <v>348</v>
      </c>
      <c r="B168" s="14" t="s">
        <v>349</v>
      </c>
      <c r="C168" s="15">
        <v>10.0</v>
      </c>
      <c r="D168" s="16">
        <f t="shared" si="1"/>
        <v>16</v>
      </c>
      <c r="E168" s="17">
        <v>160.0</v>
      </c>
      <c r="F168" s="16">
        <f t="shared" si="43"/>
        <v>19.0032</v>
      </c>
      <c r="G168" s="16">
        <f t="shared" si="44"/>
        <v>180</v>
      </c>
      <c r="H168" s="16">
        <f t="shared" si="2"/>
        <v>18</v>
      </c>
      <c r="I168" s="18">
        <f t="shared" si="39"/>
        <v>1</v>
      </c>
      <c r="J168" s="19">
        <v>20.0</v>
      </c>
    </row>
    <row r="169" ht="15.75" customHeight="1">
      <c r="A169" s="13" t="s">
        <v>350</v>
      </c>
      <c r="B169" s="14" t="s">
        <v>351</v>
      </c>
      <c r="C169" s="15">
        <v>5.0</v>
      </c>
      <c r="D169" s="16">
        <f t="shared" si="1"/>
        <v>21</v>
      </c>
      <c r="E169" s="17">
        <v>105.0</v>
      </c>
      <c r="F169" s="16">
        <f t="shared" ref="F169:F170" si="45">D169*1.095</f>
        <v>22.995</v>
      </c>
      <c r="G169" s="16">
        <f t="shared" ref="G169:G170" si="46">E169*1.0477</f>
        <v>110.0085</v>
      </c>
      <c r="H169" s="16">
        <f t="shared" si="2"/>
        <v>22.0017</v>
      </c>
      <c r="I169" s="18">
        <f t="shared" si="39"/>
        <v>1</v>
      </c>
      <c r="J169" s="19">
        <v>24.0</v>
      </c>
    </row>
    <row r="170" ht="15.75" customHeight="1">
      <c r="A170" s="13" t="s">
        <v>352</v>
      </c>
      <c r="B170" s="14" t="s">
        <v>353</v>
      </c>
      <c r="C170" s="15">
        <v>5.0</v>
      </c>
      <c r="D170" s="16">
        <f t="shared" si="1"/>
        <v>21</v>
      </c>
      <c r="E170" s="17">
        <v>105.0</v>
      </c>
      <c r="F170" s="16">
        <f t="shared" si="45"/>
        <v>22.995</v>
      </c>
      <c r="G170" s="16">
        <f t="shared" si="46"/>
        <v>110.0085</v>
      </c>
      <c r="H170" s="16">
        <f t="shared" si="2"/>
        <v>22.0017</v>
      </c>
      <c r="I170" s="18">
        <f t="shared" si="39"/>
        <v>1</v>
      </c>
      <c r="J170" s="19">
        <v>24.0</v>
      </c>
    </row>
    <row r="171" ht="15.75" customHeight="1">
      <c r="A171" s="13" t="s">
        <v>354</v>
      </c>
      <c r="B171" s="14" t="s">
        <v>355</v>
      </c>
      <c r="C171" s="15">
        <v>50.0</v>
      </c>
      <c r="D171" s="16">
        <f t="shared" si="1"/>
        <v>23</v>
      </c>
      <c r="E171" s="17">
        <v>1150.0</v>
      </c>
      <c r="F171" s="16">
        <f>D171*1.065</f>
        <v>24.495</v>
      </c>
      <c r="G171" s="16">
        <f>E171*1.0433</f>
        <v>1199.795</v>
      </c>
      <c r="H171" s="16">
        <f t="shared" si="2"/>
        <v>23.9959</v>
      </c>
      <c r="I171" s="18">
        <f t="shared" si="39"/>
        <v>1</v>
      </c>
      <c r="J171" s="19">
        <v>25.0</v>
      </c>
    </row>
    <row r="172" ht="15.75" customHeight="1">
      <c r="A172" s="13" t="s">
        <v>356</v>
      </c>
      <c r="B172" s="14" t="s">
        <v>357</v>
      </c>
      <c r="C172" s="15">
        <v>50.0</v>
      </c>
      <c r="D172" s="16">
        <f t="shared" si="1"/>
        <v>23.5</v>
      </c>
      <c r="E172" s="17">
        <v>1175.0</v>
      </c>
      <c r="F172" s="16">
        <f t="shared" ref="F172:G172" si="47">D172*1.0211</f>
        <v>23.99585</v>
      </c>
      <c r="G172" s="16">
        <f t="shared" si="47"/>
        <v>1199.7925</v>
      </c>
      <c r="H172" s="16">
        <f t="shared" si="2"/>
        <v>23.99585</v>
      </c>
      <c r="I172" s="18">
        <f t="shared" si="39"/>
        <v>1</v>
      </c>
      <c r="J172" s="19">
        <v>24.0</v>
      </c>
    </row>
    <row r="173" ht="15.75" customHeight="1">
      <c r="A173" s="13" t="s">
        <v>358</v>
      </c>
      <c r="B173" s="14" t="s">
        <v>359</v>
      </c>
      <c r="C173" s="15">
        <v>50.0</v>
      </c>
      <c r="D173" s="16">
        <f t="shared" si="1"/>
        <v>24</v>
      </c>
      <c r="E173" s="17">
        <v>1200.0</v>
      </c>
      <c r="F173" s="16">
        <f>D173*1.0833</f>
        <v>25.9992</v>
      </c>
      <c r="G173" s="16">
        <f>E173*1.0415</f>
        <v>1249.8</v>
      </c>
      <c r="H173" s="16">
        <f t="shared" si="2"/>
        <v>24.996</v>
      </c>
      <c r="I173" s="18">
        <f t="shared" si="39"/>
        <v>1</v>
      </c>
      <c r="J173" s="19">
        <v>27.0</v>
      </c>
    </row>
    <row r="174" ht="15.75" customHeight="1">
      <c r="A174" s="13" t="s">
        <v>360</v>
      </c>
      <c r="B174" s="14" t="s">
        <v>361</v>
      </c>
      <c r="C174" s="15">
        <v>50.0</v>
      </c>
      <c r="D174" s="16">
        <f t="shared" si="1"/>
        <v>8.5</v>
      </c>
      <c r="E174" s="17">
        <v>425.0</v>
      </c>
      <c r="F174" s="16">
        <f t="shared" ref="F174:G174" si="48">D174*1.177</f>
        <v>10.0045</v>
      </c>
      <c r="G174" s="16">
        <f t="shared" si="48"/>
        <v>500.225</v>
      </c>
      <c r="H174" s="16">
        <f t="shared" si="2"/>
        <v>10.0045</v>
      </c>
      <c r="I174" s="18">
        <f t="shared" si="39"/>
        <v>1</v>
      </c>
      <c r="J174" s="19">
        <v>12.0</v>
      </c>
    </row>
    <row r="175" ht="15.75" customHeight="1">
      <c r="A175" s="13" t="s">
        <v>362</v>
      </c>
      <c r="B175" s="14" t="s">
        <v>363</v>
      </c>
      <c r="C175" s="15">
        <v>20.0</v>
      </c>
      <c r="D175" s="16">
        <f t="shared" si="1"/>
        <v>5.5</v>
      </c>
      <c r="E175" s="17">
        <v>110.0</v>
      </c>
      <c r="F175" s="16">
        <f>D175*1.181</f>
        <v>6.4955</v>
      </c>
      <c r="G175" s="16">
        <f>E175*1.145</f>
        <v>125.95</v>
      </c>
      <c r="H175" s="16">
        <f t="shared" si="2"/>
        <v>6.2975</v>
      </c>
      <c r="I175" s="18">
        <f t="shared" si="39"/>
        <v>1</v>
      </c>
      <c r="J175" s="19">
        <v>7.0</v>
      </c>
    </row>
    <row r="176" ht="15.75" customHeight="1">
      <c r="A176" s="13" t="s">
        <v>364</v>
      </c>
      <c r="B176" s="14" t="s">
        <v>365</v>
      </c>
      <c r="C176" s="15">
        <v>20.0</v>
      </c>
      <c r="D176" s="16">
        <f t="shared" si="1"/>
        <v>5.5</v>
      </c>
      <c r="E176" s="17">
        <v>110.0</v>
      </c>
      <c r="F176" s="16">
        <f>D176*1.273</f>
        <v>7.0015</v>
      </c>
      <c r="G176" s="16">
        <f>E176*1.182</f>
        <v>130.02</v>
      </c>
      <c r="H176" s="16">
        <f t="shared" si="2"/>
        <v>6.501</v>
      </c>
      <c r="I176" s="18">
        <f t="shared" si="39"/>
        <v>1</v>
      </c>
      <c r="J176" s="19">
        <v>8.0</v>
      </c>
    </row>
    <row r="177" ht="15.75" customHeight="1">
      <c r="A177" s="13" t="s">
        <v>366</v>
      </c>
      <c r="B177" s="21" t="s">
        <v>367</v>
      </c>
      <c r="C177" s="32" t="s">
        <v>166</v>
      </c>
      <c r="D177" s="23" t="str">
        <f t="shared" si="1"/>
        <v>#VALUE!</v>
      </c>
      <c r="E177" s="23">
        <v>0.0</v>
      </c>
      <c r="F177" s="23" t="str">
        <f>D177*1.8</f>
        <v>#VALUE!</v>
      </c>
      <c r="G177" s="23">
        <f>E177*1.5</f>
        <v>0</v>
      </c>
      <c r="H177" s="23" t="str">
        <f t="shared" si="2"/>
        <v>#VALUE!</v>
      </c>
      <c r="I177" s="33">
        <f t="shared" si="39"/>
        <v>1</v>
      </c>
      <c r="J177" s="34"/>
    </row>
    <row r="178" ht="15.75" customHeight="1">
      <c r="A178" s="13" t="s">
        <v>368</v>
      </c>
      <c r="B178" s="14" t="s">
        <v>369</v>
      </c>
      <c r="C178" s="15">
        <v>20.0</v>
      </c>
      <c r="D178" s="16">
        <f t="shared" si="1"/>
        <v>6.5</v>
      </c>
      <c r="E178" s="17">
        <v>130.0</v>
      </c>
      <c r="F178" s="16">
        <f t="shared" ref="F178:G178" si="49">D178*1.154</f>
        <v>7.501</v>
      </c>
      <c r="G178" s="16">
        <f t="shared" si="49"/>
        <v>150.02</v>
      </c>
      <c r="H178" s="16">
        <f t="shared" si="2"/>
        <v>7.501</v>
      </c>
      <c r="I178" s="18">
        <f t="shared" si="39"/>
        <v>1</v>
      </c>
      <c r="J178" s="19">
        <v>8.0</v>
      </c>
    </row>
    <row r="179" ht="15.75" customHeight="1">
      <c r="A179" s="13" t="s">
        <v>370</v>
      </c>
      <c r="B179" s="14" t="s">
        <v>371</v>
      </c>
      <c r="C179" s="15">
        <v>10.0</v>
      </c>
      <c r="D179" s="16">
        <f t="shared" si="1"/>
        <v>8.5</v>
      </c>
      <c r="E179" s="17">
        <v>85.0</v>
      </c>
      <c r="F179" s="16">
        <f t="shared" ref="F179:G179" si="50">D179*1.118</f>
        <v>9.503</v>
      </c>
      <c r="G179" s="16">
        <f t="shared" si="50"/>
        <v>95.03</v>
      </c>
      <c r="H179" s="16">
        <f t="shared" si="2"/>
        <v>9.503</v>
      </c>
      <c r="I179" s="18">
        <f t="shared" si="39"/>
        <v>1</v>
      </c>
      <c r="J179" s="19">
        <v>10.0</v>
      </c>
    </row>
    <row r="180" ht="15.75" customHeight="1">
      <c r="A180" s="13" t="s">
        <v>372</v>
      </c>
      <c r="B180" s="14" t="s">
        <v>373</v>
      </c>
      <c r="C180" s="15">
        <v>10.0</v>
      </c>
      <c r="D180" s="16">
        <f t="shared" si="1"/>
        <v>15</v>
      </c>
      <c r="E180" s="17">
        <v>150.0</v>
      </c>
      <c r="F180" s="16">
        <f t="shared" ref="F180:F181" si="51">D180*1.233</f>
        <v>18.495</v>
      </c>
      <c r="G180" s="16">
        <f t="shared" ref="G180:G181" si="52">E180*1.16666</f>
        <v>174.999</v>
      </c>
      <c r="H180" s="16">
        <f t="shared" si="2"/>
        <v>17.4999</v>
      </c>
      <c r="I180" s="18">
        <f t="shared" si="39"/>
        <v>1</v>
      </c>
      <c r="J180" s="19">
        <v>20.0</v>
      </c>
    </row>
    <row r="181" ht="15.75" customHeight="1">
      <c r="A181" s="13" t="s">
        <v>374</v>
      </c>
      <c r="B181" s="14" t="s">
        <v>375</v>
      </c>
      <c r="C181" s="15">
        <v>10.0</v>
      </c>
      <c r="D181" s="16">
        <f t="shared" si="1"/>
        <v>15</v>
      </c>
      <c r="E181" s="17">
        <v>150.0</v>
      </c>
      <c r="F181" s="16">
        <f t="shared" si="51"/>
        <v>18.495</v>
      </c>
      <c r="G181" s="16">
        <f t="shared" si="52"/>
        <v>174.999</v>
      </c>
      <c r="H181" s="16">
        <f t="shared" si="2"/>
        <v>17.4999</v>
      </c>
      <c r="I181" s="18">
        <f t="shared" si="39"/>
        <v>1</v>
      </c>
      <c r="J181" s="19">
        <v>20.0</v>
      </c>
    </row>
    <row r="182" ht="15.75" customHeight="1">
      <c r="A182" s="13" t="s">
        <v>376</v>
      </c>
      <c r="B182" s="14" t="s">
        <v>377</v>
      </c>
      <c r="C182" s="15">
        <v>30.0</v>
      </c>
      <c r="D182" s="16">
        <f t="shared" si="1"/>
        <v>10</v>
      </c>
      <c r="E182" s="17">
        <v>300.0</v>
      </c>
      <c r="F182" s="16">
        <f t="shared" ref="F182:F185" si="53">D182*1.15</f>
        <v>11.5</v>
      </c>
      <c r="G182" s="16">
        <f t="shared" ref="G182:G185" si="54">E182*1.1</f>
        <v>330</v>
      </c>
      <c r="H182" s="16">
        <f t="shared" si="2"/>
        <v>11</v>
      </c>
      <c r="I182" s="18">
        <f t="shared" si="39"/>
        <v>1</v>
      </c>
      <c r="J182" s="19">
        <v>12.0</v>
      </c>
    </row>
    <row r="183" ht="15.75" customHeight="1">
      <c r="A183" s="13" t="s">
        <v>378</v>
      </c>
      <c r="B183" s="14" t="s">
        <v>379</v>
      </c>
      <c r="C183" s="15">
        <v>30.0</v>
      </c>
      <c r="D183" s="16">
        <f t="shared" si="1"/>
        <v>10</v>
      </c>
      <c r="E183" s="17">
        <v>300.0</v>
      </c>
      <c r="F183" s="16">
        <f t="shared" si="53"/>
        <v>11.5</v>
      </c>
      <c r="G183" s="16">
        <f t="shared" si="54"/>
        <v>330</v>
      </c>
      <c r="H183" s="16">
        <f t="shared" si="2"/>
        <v>11</v>
      </c>
      <c r="I183" s="18">
        <f t="shared" si="39"/>
        <v>1</v>
      </c>
      <c r="J183" s="19">
        <v>12.0</v>
      </c>
    </row>
    <row r="184" ht="15.75" customHeight="1">
      <c r="A184" s="13" t="s">
        <v>380</v>
      </c>
      <c r="B184" s="14" t="s">
        <v>381</v>
      </c>
      <c r="C184" s="15">
        <v>30.0</v>
      </c>
      <c r="D184" s="16">
        <f t="shared" si="1"/>
        <v>10</v>
      </c>
      <c r="E184" s="17">
        <v>300.0</v>
      </c>
      <c r="F184" s="16">
        <f t="shared" si="53"/>
        <v>11.5</v>
      </c>
      <c r="G184" s="16">
        <f t="shared" si="54"/>
        <v>330</v>
      </c>
      <c r="H184" s="16">
        <f t="shared" si="2"/>
        <v>11</v>
      </c>
      <c r="I184" s="18">
        <f t="shared" si="39"/>
        <v>1</v>
      </c>
      <c r="J184" s="19">
        <v>12.0</v>
      </c>
    </row>
    <row r="185" ht="15.75" customHeight="1">
      <c r="A185" s="13" t="s">
        <v>382</v>
      </c>
      <c r="B185" s="14" t="s">
        <v>383</v>
      </c>
      <c r="C185" s="15">
        <v>30.0</v>
      </c>
      <c r="D185" s="16">
        <f t="shared" si="1"/>
        <v>10</v>
      </c>
      <c r="E185" s="17">
        <v>300.0</v>
      </c>
      <c r="F185" s="16">
        <f t="shared" si="53"/>
        <v>11.5</v>
      </c>
      <c r="G185" s="16">
        <f t="shared" si="54"/>
        <v>330</v>
      </c>
      <c r="H185" s="16">
        <f t="shared" si="2"/>
        <v>11</v>
      </c>
      <c r="I185" s="18">
        <f t="shared" si="39"/>
        <v>1</v>
      </c>
      <c r="J185" s="19">
        <v>12.0</v>
      </c>
    </row>
    <row r="186" ht="15.75" customHeight="1">
      <c r="A186" s="13" t="s">
        <v>384</v>
      </c>
      <c r="B186" s="14" t="s">
        <v>385</v>
      </c>
      <c r="C186" s="15">
        <v>40.0</v>
      </c>
      <c r="D186" s="16">
        <f t="shared" si="1"/>
        <v>5</v>
      </c>
      <c r="E186" s="17">
        <v>200.0</v>
      </c>
      <c r="F186" s="16">
        <f>D186*1.299</f>
        <v>6.495</v>
      </c>
      <c r="G186" s="16">
        <f>E186*1.199999</f>
        <v>239.9998</v>
      </c>
      <c r="H186" s="16">
        <f t="shared" si="2"/>
        <v>5.999995</v>
      </c>
      <c r="I186" s="18">
        <f t="shared" si="39"/>
        <v>1</v>
      </c>
      <c r="J186" s="19">
        <v>7.0</v>
      </c>
    </row>
    <row r="187" ht="15.75" customHeight="1">
      <c r="A187" s="13" t="s">
        <v>386</v>
      </c>
      <c r="B187" s="14" t="s">
        <v>387</v>
      </c>
      <c r="C187" s="15">
        <v>20.0</v>
      </c>
      <c r="D187" s="16">
        <f t="shared" si="1"/>
        <v>5</v>
      </c>
      <c r="E187" s="17">
        <v>100.0</v>
      </c>
      <c r="F187" s="16">
        <f>D187*1.14</f>
        <v>5.7</v>
      </c>
      <c r="G187" s="16">
        <f>E187*1.1</f>
        <v>110</v>
      </c>
      <c r="H187" s="16">
        <f t="shared" si="2"/>
        <v>5.5</v>
      </c>
      <c r="I187" s="18">
        <f t="shared" si="39"/>
        <v>1</v>
      </c>
      <c r="J187" s="19">
        <v>6.0</v>
      </c>
    </row>
    <row r="188" ht="15.75" customHeight="1">
      <c r="A188" s="13" t="s">
        <v>388</v>
      </c>
      <c r="B188" s="14" t="s">
        <v>389</v>
      </c>
      <c r="C188" s="15">
        <v>29.0</v>
      </c>
      <c r="D188" s="16">
        <f t="shared" si="1"/>
        <v>3.448275862</v>
      </c>
      <c r="E188" s="17">
        <v>100.0</v>
      </c>
      <c r="F188" s="16">
        <f>D188*1.596</f>
        <v>5.503448276</v>
      </c>
      <c r="G188" s="16">
        <f>E188*1.507</f>
        <v>150.7</v>
      </c>
      <c r="H188" s="16">
        <f t="shared" si="2"/>
        <v>5.196551724</v>
      </c>
      <c r="I188" s="18">
        <f t="shared" si="39"/>
        <v>1</v>
      </c>
      <c r="J188" s="19">
        <v>6.0</v>
      </c>
    </row>
    <row r="189" ht="15.75" customHeight="1">
      <c r="A189" s="13" t="s">
        <v>390</v>
      </c>
      <c r="B189" s="31" t="s">
        <v>391</v>
      </c>
      <c r="C189" s="15">
        <v>25.0</v>
      </c>
      <c r="D189" s="16">
        <f t="shared" si="1"/>
        <v>6.9</v>
      </c>
      <c r="E189" s="17">
        <v>172.5</v>
      </c>
      <c r="F189" s="16">
        <f>D189*1.16</f>
        <v>8.004</v>
      </c>
      <c r="G189" s="16">
        <f>E189*1.145</f>
        <v>197.5125</v>
      </c>
      <c r="H189" s="16">
        <f t="shared" si="2"/>
        <v>7.9005</v>
      </c>
      <c r="I189" s="18">
        <f t="shared" si="39"/>
        <v>1</v>
      </c>
      <c r="J189" s="19">
        <v>8.5</v>
      </c>
    </row>
    <row r="190" ht="15.75" customHeight="1">
      <c r="A190" s="13" t="s">
        <v>392</v>
      </c>
      <c r="B190" s="14" t="s">
        <v>393</v>
      </c>
      <c r="C190" s="15">
        <v>25.0</v>
      </c>
      <c r="D190" s="16">
        <f t="shared" si="1"/>
        <v>16.8</v>
      </c>
      <c r="E190" s="17">
        <v>420.0</v>
      </c>
      <c r="F190" s="16">
        <f>D190*1.101</f>
        <v>18.4968</v>
      </c>
      <c r="G190" s="16">
        <f>E190*1.07144</f>
        <v>450.0048</v>
      </c>
      <c r="H190" s="16">
        <f t="shared" si="2"/>
        <v>18.000192</v>
      </c>
      <c r="I190" s="18">
        <f t="shared" si="39"/>
        <v>1</v>
      </c>
      <c r="J190" s="19">
        <v>19.0</v>
      </c>
    </row>
    <row r="191" ht="15.75" customHeight="1">
      <c r="A191" s="13" t="s">
        <v>394</v>
      </c>
      <c r="B191" s="14" t="s">
        <v>395</v>
      </c>
      <c r="C191" s="15">
        <v>25.0</v>
      </c>
      <c r="D191" s="16">
        <f t="shared" si="1"/>
        <v>6.9</v>
      </c>
      <c r="E191" s="17">
        <v>172.5</v>
      </c>
      <c r="F191" s="16">
        <f>D191*1.16</f>
        <v>8.004</v>
      </c>
      <c r="G191" s="16">
        <f>E191*1.1131</f>
        <v>192.00975</v>
      </c>
      <c r="H191" s="16">
        <f t="shared" si="2"/>
        <v>7.68039</v>
      </c>
      <c r="I191" s="18">
        <f t="shared" si="39"/>
        <v>1</v>
      </c>
      <c r="J191" s="19">
        <v>8.5</v>
      </c>
    </row>
    <row r="192" ht="15.75" customHeight="1">
      <c r="A192" s="13" t="s">
        <v>396</v>
      </c>
      <c r="B192" s="14" t="s">
        <v>397</v>
      </c>
      <c r="C192" s="15">
        <v>25.0</v>
      </c>
      <c r="D192" s="16">
        <f t="shared" si="1"/>
        <v>7.2</v>
      </c>
      <c r="E192" s="17">
        <v>180.0</v>
      </c>
      <c r="F192" s="16">
        <f>D192*1.111</f>
        <v>7.9992</v>
      </c>
      <c r="G192" s="16">
        <f>E192*1.09</f>
        <v>196.2</v>
      </c>
      <c r="H192" s="16">
        <f t="shared" si="2"/>
        <v>7.848</v>
      </c>
      <c r="I192" s="18">
        <f t="shared" si="39"/>
        <v>1</v>
      </c>
      <c r="J192" s="19">
        <v>8.5</v>
      </c>
    </row>
    <row r="193" ht="15.75" customHeight="1">
      <c r="A193" s="13" t="s">
        <v>398</v>
      </c>
      <c r="B193" s="14" t="s">
        <v>399</v>
      </c>
      <c r="C193" s="15">
        <v>30.0</v>
      </c>
      <c r="D193" s="16">
        <f t="shared" si="1"/>
        <v>13.5</v>
      </c>
      <c r="E193" s="17">
        <v>405.0</v>
      </c>
      <c r="F193" s="16">
        <f>D193*1.074</f>
        <v>14.499</v>
      </c>
      <c r="G193" s="16">
        <f>E193*1.0741</f>
        <v>435.0105</v>
      </c>
      <c r="H193" s="16">
        <f t="shared" si="2"/>
        <v>14.50035</v>
      </c>
      <c r="I193" s="18">
        <f t="shared" si="39"/>
        <v>1</v>
      </c>
      <c r="J193" s="19">
        <v>15.0</v>
      </c>
    </row>
    <row r="194" ht="15.75" customHeight="1">
      <c r="A194" s="13" t="s">
        <v>400</v>
      </c>
      <c r="B194" s="14" t="s">
        <v>401</v>
      </c>
      <c r="C194" s="15">
        <v>25.0</v>
      </c>
      <c r="D194" s="16">
        <f t="shared" si="1"/>
        <v>5.8</v>
      </c>
      <c r="E194" s="17">
        <v>145.0</v>
      </c>
      <c r="F194" s="16">
        <f>D194*1.172</f>
        <v>6.7976</v>
      </c>
      <c r="G194" s="16">
        <f>E194*1.1724</f>
        <v>169.998</v>
      </c>
      <c r="H194" s="16">
        <f t="shared" si="2"/>
        <v>6.79992</v>
      </c>
      <c r="I194" s="18">
        <f t="shared" si="39"/>
        <v>1</v>
      </c>
      <c r="J194" s="19">
        <v>7.0</v>
      </c>
    </row>
    <row r="195" ht="15.75" customHeight="1">
      <c r="A195" s="13" t="s">
        <v>402</v>
      </c>
      <c r="B195" s="14" t="s">
        <v>403</v>
      </c>
      <c r="C195" s="15">
        <v>10.0</v>
      </c>
      <c r="D195" s="16">
        <f t="shared" si="1"/>
        <v>8.5</v>
      </c>
      <c r="E195" s="17">
        <v>85.0</v>
      </c>
      <c r="F195" s="16">
        <f t="shared" ref="F195:G195" si="55">D195*1.118</f>
        <v>9.503</v>
      </c>
      <c r="G195" s="16">
        <f t="shared" si="55"/>
        <v>95.03</v>
      </c>
      <c r="H195" s="16">
        <f t="shared" si="2"/>
        <v>9.503</v>
      </c>
      <c r="I195" s="18">
        <f t="shared" si="39"/>
        <v>1</v>
      </c>
      <c r="J195" s="19">
        <v>10.0</v>
      </c>
    </row>
    <row r="196" ht="15.75" customHeight="1">
      <c r="A196" s="13" t="s">
        <v>404</v>
      </c>
      <c r="B196" s="14" t="s">
        <v>405</v>
      </c>
      <c r="C196" s="15">
        <v>20.0</v>
      </c>
      <c r="D196" s="16">
        <f t="shared" si="1"/>
        <v>5.5</v>
      </c>
      <c r="E196" s="17">
        <v>110.0</v>
      </c>
      <c r="F196" s="16">
        <f>D196*1.364</f>
        <v>7.502</v>
      </c>
      <c r="G196" s="16">
        <f>E196*1.273</f>
        <v>140.03</v>
      </c>
      <c r="H196" s="16">
        <f t="shared" si="2"/>
        <v>7.0015</v>
      </c>
      <c r="I196" s="18">
        <f t="shared" si="39"/>
        <v>1</v>
      </c>
      <c r="J196" s="19">
        <v>8.0</v>
      </c>
    </row>
    <row r="197" ht="15.75" customHeight="1">
      <c r="A197" s="13" t="s">
        <v>406</v>
      </c>
      <c r="B197" s="14" t="s">
        <v>407</v>
      </c>
      <c r="C197" s="15">
        <v>10.0</v>
      </c>
      <c r="D197" s="16">
        <f t="shared" si="1"/>
        <v>13</v>
      </c>
      <c r="E197" s="17">
        <v>130.0</v>
      </c>
      <c r="F197" s="16">
        <f>D197*1.192</f>
        <v>15.496</v>
      </c>
      <c r="G197" s="16">
        <f>E197*1.15388</f>
        <v>150.0044</v>
      </c>
      <c r="H197" s="16">
        <f t="shared" si="2"/>
        <v>15.00044</v>
      </c>
      <c r="I197" s="18">
        <f t="shared" si="39"/>
        <v>1</v>
      </c>
      <c r="J197" s="19">
        <v>17.0</v>
      </c>
    </row>
    <row r="198" ht="15.75" customHeight="1">
      <c r="A198" s="13" t="s">
        <v>408</v>
      </c>
      <c r="B198" s="14" t="s">
        <v>409</v>
      </c>
      <c r="C198" s="15">
        <v>5.0</v>
      </c>
      <c r="D198" s="16">
        <f t="shared" si="1"/>
        <v>18.5</v>
      </c>
      <c r="E198" s="17">
        <v>92.5</v>
      </c>
      <c r="F198" s="16">
        <f>D198*1.18899</f>
        <v>21.996315</v>
      </c>
      <c r="G198" s="16">
        <f>E198*1.1351</f>
        <v>104.99675</v>
      </c>
      <c r="H198" s="16">
        <f t="shared" si="2"/>
        <v>20.99935</v>
      </c>
      <c r="I198" s="18">
        <f t="shared" si="39"/>
        <v>1</v>
      </c>
      <c r="J198" s="19">
        <v>24.0</v>
      </c>
    </row>
    <row r="199" ht="15.75" customHeight="1">
      <c r="A199" s="13" t="s">
        <v>410</v>
      </c>
      <c r="B199" s="14" t="s">
        <v>411</v>
      </c>
      <c r="C199" s="15">
        <v>5.0</v>
      </c>
      <c r="D199" s="16">
        <f t="shared" si="1"/>
        <v>35</v>
      </c>
      <c r="E199" s="17">
        <v>175.0</v>
      </c>
      <c r="F199" s="16">
        <f>D199*1.1</f>
        <v>38.5</v>
      </c>
      <c r="G199" s="16">
        <f>E199*1.0715</f>
        <v>187.5125</v>
      </c>
      <c r="H199" s="16">
        <f t="shared" si="2"/>
        <v>37.5025</v>
      </c>
      <c r="I199" s="18">
        <f t="shared" si="39"/>
        <v>1</v>
      </c>
      <c r="J199" s="19">
        <v>40.0</v>
      </c>
    </row>
    <row r="200" ht="15.75" customHeight="1">
      <c r="A200" s="13" t="s">
        <v>412</v>
      </c>
      <c r="B200" s="14" t="s">
        <v>413</v>
      </c>
      <c r="C200" s="15">
        <v>5.0</v>
      </c>
      <c r="D200" s="16">
        <f t="shared" si="1"/>
        <v>30</v>
      </c>
      <c r="E200" s="17">
        <v>150.0</v>
      </c>
      <c r="F200" s="16">
        <f>D200*1.2</f>
        <v>36</v>
      </c>
      <c r="G200" s="16">
        <f>E200*1.15</f>
        <v>172.5</v>
      </c>
      <c r="H200" s="16">
        <f t="shared" si="2"/>
        <v>34.5</v>
      </c>
      <c r="I200" s="18">
        <f t="shared" si="39"/>
        <v>1</v>
      </c>
      <c r="J200" s="19">
        <v>40.0</v>
      </c>
    </row>
    <row r="201" ht="15.75" customHeight="1">
      <c r="A201" s="13" t="s">
        <v>414</v>
      </c>
      <c r="B201" s="21" t="s">
        <v>415</v>
      </c>
      <c r="C201" s="32" t="s">
        <v>166</v>
      </c>
      <c r="D201" s="23" t="str">
        <f t="shared" si="1"/>
        <v>#VALUE!</v>
      </c>
      <c r="E201" s="23">
        <v>0.0</v>
      </c>
      <c r="F201" s="23" t="str">
        <f>D201*1.8</f>
        <v>#VALUE!</v>
      </c>
      <c r="G201" s="23">
        <f>E201*1.5</f>
        <v>0</v>
      </c>
      <c r="H201" s="23" t="str">
        <f t="shared" si="2"/>
        <v>#VALUE!</v>
      </c>
      <c r="I201" s="33">
        <f t="shared" si="39"/>
        <v>1</v>
      </c>
      <c r="J201" s="34"/>
    </row>
    <row r="202" ht="15.75" customHeight="1">
      <c r="A202" s="13" t="s">
        <v>416</v>
      </c>
      <c r="B202" s="14" t="s">
        <v>417</v>
      </c>
      <c r="C202" s="15">
        <v>5.0</v>
      </c>
      <c r="D202" s="16">
        <f t="shared" si="1"/>
        <v>30</v>
      </c>
      <c r="E202" s="17">
        <v>150.0</v>
      </c>
      <c r="F202" s="16">
        <f t="shared" ref="F202:F203" si="56">D202*1.2</f>
        <v>36</v>
      </c>
      <c r="G202" s="16">
        <f t="shared" ref="G202:G203" si="57">E202*1.15</f>
        <v>172.5</v>
      </c>
      <c r="H202" s="16">
        <f t="shared" si="2"/>
        <v>34.5</v>
      </c>
      <c r="I202" s="18">
        <f t="shared" si="39"/>
        <v>1</v>
      </c>
      <c r="J202" s="19">
        <v>40.0</v>
      </c>
    </row>
    <row r="203" ht="15.75" customHeight="1">
      <c r="A203" s="13" t="s">
        <v>418</v>
      </c>
      <c r="B203" s="14" t="s">
        <v>419</v>
      </c>
      <c r="C203" s="15">
        <v>5.0</v>
      </c>
      <c r="D203" s="16">
        <f t="shared" si="1"/>
        <v>30</v>
      </c>
      <c r="E203" s="17">
        <v>150.0</v>
      </c>
      <c r="F203" s="16">
        <f t="shared" si="56"/>
        <v>36</v>
      </c>
      <c r="G203" s="16">
        <f t="shared" si="57"/>
        <v>172.5</v>
      </c>
      <c r="H203" s="16">
        <f t="shared" si="2"/>
        <v>34.5</v>
      </c>
      <c r="I203" s="18">
        <f t="shared" si="39"/>
        <v>1</v>
      </c>
      <c r="J203" s="19">
        <v>40.0</v>
      </c>
    </row>
    <row r="204" ht="15.75" customHeight="1">
      <c r="A204" s="13" t="s">
        <v>420</v>
      </c>
      <c r="B204" s="14" t="s">
        <v>421</v>
      </c>
      <c r="C204" s="15">
        <v>5.0</v>
      </c>
      <c r="D204" s="16">
        <f t="shared" si="1"/>
        <v>25</v>
      </c>
      <c r="E204" s="17">
        <v>125.0</v>
      </c>
      <c r="F204" s="16">
        <f>D204*1.12</f>
        <v>28</v>
      </c>
      <c r="G204" s="16">
        <f>E204*1.08</f>
        <v>135</v>
      </c>
      <c r="H204" s="16">
        <f t="shared" si="2"/>
        <v>27</v>
      </c>
      <c r="I204" s="18">
        <f t="shared" si="39"/>
        <v>1</v>
      </c>
      <c r="J204" s="19">
        <v>30.0</v>
      </c>
    </row>
    <row r="205" ht="15.75" customHeight="1">
      <c r="A205" s="13" t="s">
        <v>422</v>
      </c>
      <c r="B205" s="31" t="s">
        <v>423</v>
      </c>
      <c r="C205" s="15">
        <v>10.0</v>
      </c>
      <c r="D205" s="16">
        <f t="shared" si="1"/>
        <v>31</v>
      </c>
      <c r="E205" s="17">
        <v>310.0</v>
      </c>
      <c r="F205" s="16">
        <f>D205*1.096666</f>
        <v>33.996646</v>
      </c>
      <c r="G205" s="16">
        <f>E205*1.08066</f>
        <v>335.0046</v>
      </c>
      <c r="H205" s="16">
        <f t="shared" si="2"/>
        <v>33.50046</v>
      </c>
      <c r="I205" s="18">
        <f t="shared" si="39"/>
        <v>1</v>
      </c>
      <c r="J205" s="19">
        <v>35.0</v>
      </c>
    </row>
    <row r="206" ht="15.75" customHeight="1">
      <c r="A206" s="13" t="s">
        <v>424</v>
      </c>
      <c r="B206" s="31" t="s">
        <v>425</v>
      </c>
      <c r="C206" s="15">
        <v>10.0</v>
      </c>
      <c r="D206" s="16">
        <f t="shared" si="1"/>
        <v>31</v>
      </c>
      <c r="E206" s="17">
        <v>310.0</v>
      </c>
      <c r="F206" s="16">
        <f>D206*1.08066</f>
        <v>33.50046</v>
      </c>
      <c r="G206" s="16">
        <f>E206*1.0645</f>
        <v>329.995</v>
      </c>
      <c r="H206" s="16">
        <f t="shared" si="2"/>
        <v>32.9995</v>
      </c>
      <c r="I206" s="18">
        <f t="shared" si="39"/>
        <v>1</v>
      </c>
      <c r="J206" s="19">
        <v>34.0</v>
      </c>
    </row>
    <row r="207" ht="15.75" customHeight="1">
      <c r="A207" s="13" t="s">
        <v>426</v>
      </c>
      <c r="B207" s="31" t="s">
        <v>427</v>
      </c>
      <c r="C207" s="15">
        <v>1.0</v>
      </c>
      <c r="D207" s="16">
        <f t="shared" si="1"/>
        <v>32.5</v>
      </c>
      <c r="E207" s="17">
        <v>32.5</v>
      </c>
      <c r="F207" s="16">
        <f t="shared" ref="F207:G207" si="58">D207*1.077</f>
        <v>35.0025</v>
      </c>
      <c r="G207" s="16">
        <f t="shared" si="58"/>
        <v>35.0025</v>
      </c>
      <c r="H207" s="16">
        <f t="shared" si="2"/>
        <v>35.0025</v>
      </c>
      <c r="I207" s="18">
        <f t="shared" si="39"/>
        <v>1</v>
      </c>
      <c r="J207" s="19">
        <v>37.5</v>
      </c>
      <c r="K207" s="39" t="s">
        <v>428</v>
      </c>
    </row>
    <row r="208" ht="15.75" customHeight="1">
      <c r="A208" s="13" t="s">
        <v>429</v>
      </c>
      <c r="B208" s="31" t="s">
        <v>430</v>
      </c>
      <c r="C208" s="15">
        <v>5.0</v>
      </c>
      <c r="D208" s="16">
        <f t="shared" si="1"/>
        <v>47</v>
      </c>
      <c r="E208" s="17">
        <v>235.0</v>
      </c>
      <c r="F208" s="16">
        <f t="shared" ref="F208:G208" si="59">D208*1.1702</f>
        <v>54.9994</v>
      </c>
      <c r="G208" s="16">
        <f t="shared" si="59"/>
        <v>274.997</v>
      </c>
      <c r="H208" s="16">
        <f t="shared" si="2"/>
        <v>54.9994</v>
      </c>
      <c r="I208" s="18">
        <f t="shared" si="39"/>
        <v>1</v>
      </c>
      <c r="J208" s="19">
        <v>6.0</v>
      </c>
      <c r="K208" s="39" t="s">
        <v>431</v>
      </c>
    </row>
    <row r="209" ht="15.75" customHeight="1">
      <c r="A209" s="13" t="s">
        <v>432</v>
      </c>
      <c r="B209" s="14" t="s">
        <v>433</v>
      </c>
      <c r="C209" s="15">
        <v>5.0</v>
      </c>
      <c r="D209" s="16">
        <f t="shared" si="1"/>
        <v>48</v>
      </c>
      <c r="E209" s="17">
        <v>240.0</v>
      </c>
      <c r="F209" s="16">
        <f>D209*1.1876</f>
        <v>57.0048</v>
      </c>
      <c r="G209" s="16">
        <f>E209*1.16666</f>
        <v>279.9984</v>
      </c>
      <c r="H209" s="16">
        <f t="shared" si="2"/>
        <v>55.99968</v>
      </c>
      <c r="I209" s="18">
        <f t="shared" si="39"/>
        <v>1</v>
      </c>
      <c r="J209" s="19">
        <v>6.0</v>
      </c>
    </row>
    <row r="210" ht="15.75" customHeight="1">
      <c r="A210" s="13" t="s">
        <v>434</v>
      </c>
      <c r="B210" s="14" t="s">
        <v>435</v>
      </c>
      <c r="C210" s="15">
        <v>5.0</v>
      </c>
      <c r="D210" s="16">
        <f t="shared" si="1"/>
        <v>47</v>
      </c>
      <c r="E210" s="17">
        <v>235.0</v>
      </c>
      <c r="F210" s="16">
        <f t="shared" ref="F210:G210" si="60">D210*1.1702</f>
        <v>54.9994</v>
      </c>
      <c r="G210" s="16">
        <f t="shared" si="60"/>
        <v>274.997</v>
      </c>
      <c r="H210" s="16">
        <f t="shared" si="2"/>
        <v>54.9994</v>
      </c>
      <c r="I210" s="18">
        <f t="shared" si="39"/>
        <v>1</v>
      </c>
      <c r="J210" s="19">
        <v>6.0</v>
      </c>
    </row>
    <row r="211" ht="15.75" customHeight="1">
      <c r="A211" s="13" t="s">
        <v>436</v>
      </c>
      <c r="B211" s="14" t="s">
        <v>437</v>
      </c>
      <c r="C211" s="15">
        <v>5.0</v>
      </c>
      <c r="D211" s="16">
        <f t="shared" si="1"/>
        <v>47</v>
      </c>
      <c r="E211" s="17">
        <v>235.0</v>
      </c>
      <c r="F211" s="16">
        <f t="shared" ref="F211:G211" si="61">D211*1.1702</f>
        <v>54.9994</v>
      </c>
      <c r="G211" s="16">
        <f t="shared" si="61"/>
        <v>274.997</v>
      </c>
      <c r="H211" s="16">
        <f t="shared" si="2"/>
        <v>54.9994</v>
      </c>
      <c r="I211" s="18">
        <f t="shared" si="39"/>
        <v>1</v>
      </c>
      <c r="J211" s="19">
        <v>6.0</v>
      </c>
    </row>
    <row r="212" ht="15.75" customHeight="1">
      <c r="A212" s="40" t="s">
        <v>438</v>
      </c>
      <c r="B212" s="41" t="s">
        <v>439</v>
      </c>
      <c r="C212" s="42">
        <v>50.0</v>
      </c>
      <c r="D212" s="43">
        <f t="shared" si="1"/>
        <v>8.5</v>
      </c>
      <c r="E212" s="44">
        <v>425.0</v>
      </c>
      <c r="F212" s="43">
        <f>D212*1.8</f>
        <v>15.3</v>
      </c>
      <c r="G212" s="43">
        <f>E212*1.5</f>
        <v>637.5</v>
      </c>
      <c r="H212" s="43">
        <f t="shared" si="2"/>
        <v>12.75</v>
      </c>
      <c r="I212" s="18">
        <f t="shared" si="39"/>
        <v>1</v>
      </c>
      <c r="J212" s="19">
        <v>10.0</v>
      </c>
    </row>
    <row r="213" ht="15.75" customHeight="1">
      <c r="A213" s="13" t="s">
        <v>440</v>
      </c>
      <c r="B213" s="14" t="s">
        <v>441</v>
      </c>
      <c r="C213" s="15">
        <v>25.0</v>
      </c>
      <c r="D213" s="16">
        <f t="shared" si="1"/>
        <v>3</v>
      </c>
      <c r="E213" s="17">
        <v>75.0</v>
      </c>
      <c r="F213" s="16">
        <f>D213*1.5</f>
        <v>4.5</v>
      </c>
      <c r="G213" s="16">
        <f>E213*1.33333</f>
        <v>99.99975</v>
      </c>
      <c r="H213" s="16">
        <f t="shared" si="2"/>
        <v>3.99999</v>
      </c>
      <c r="I213" s="18">
        <f t="shared" si="39"/>
        <v>1</v>
      </c>
      <c r="J213" s="19">
        <v>5.0</v>
      </c>
    </row>
    <row r="214" ht="15.75" customHeight="1">
      <c r="A214" s="13" t="s">
        <v>442</v>
      </c>
      <c r="B214" s="14" t="s">
        <v>443</v>
      </c>
      <c r="C214" s="15">
        <v>50.0</v>
      </c>
      <c r="D214" s="16">
        <f t="shared" si="1"/>
        <v>4.5</v>
      </c>
      <c r="E214" s="17">
        <v>225.0</v>
      </c>
      <c r="F214" s="16">
        <f>D214*1.222</f>
        <v>5.499</v>
      </c>
      <c r="G214" s="16">
        <f>E214*1.1111</f>
        <v>249.9975</v>
      </c>
      <c r="H214" s="16">
        <f t="shared" si="2"/>
        <v>4.99995</v>
      </c>
      <c r="I214" s="18">
        <f t="shared" si="39"/>
        <v>1</v>
      </c>
      <c r="J214" s="19">
        <v>6.0</v>
      </c>
    </row>
    <row r="215" ht="15.75" customHeight="1">
      <c r="A215" s="13" t="s">
        <v>444</v>
      </c>
      <c r="B215" s="14" t="s">
        <v>445</v>
      </c>
      <c r="C215" s="15">
        <v>20.0</v>
      </c>
      <c r="D215" s="16">
        <f t="shared" si="1"/>
        <v>13</v>
      </c>
      <c r="E215" s="17">
        <v>260.0</v>
      </c>
      <c r="F215" s="16">
        <f>D215*1.269</f>
        <v>16.497</v>
      </c>
      <c r="G215" s="16">
        <f>E215*1.1923</f>
        <v>309.998</v>
      </c>
      <c r="H215" s="16">
        <f t="shared" si="2"/>
        <v>15.4999</v>
      </c>
      <c r="I215" s="18">
        <f t="shared" si="39"/>
        <v>1</v>
      </c>
      <c r="J215" s="19">
        <v>18.0</v>
      </c>
    </row>
    <row r="216" ht="15.75" customHeight="1">
      <c r="A216" s="13" t="s">
        <v>446</v>
      </c>
      <c r="B216" s="14" t="s">
        <v>447</v>
      </c>
      <c r="C216" s="15">
        <v>20.0</v>
      </c>
      <c r="D216" s="16">
        <f t="shared" si="1"/>
        <v>14</v>
      </c>
      <c r="E216" s="17">
        <v>280.0</v>
      </c>
      <c r="F216" s="16">
        <f>D216*1.1788</f>
        <v>16.5032</v>
      </c>
      <c r="G216" s="16">
        <f>E216*1.10716</f>
        <v>310.0048</v>
      </c>
      <c r="H216" s="16">
        <f t="shared" si="2"/>
        <v>15.50024</v>
      </c>
      <c r="I216" s="18">
        <f t="shared" si="39"/>
        <v>1</v>
      </c>
      <c r="J216" s="19">
        <v>18.0</v>
      </c>
    </row>
    <row r="217" ht="15.75" customHeight="1">
      <c r="A217" s="13" t="s">
        <v>448</v>
      </c>
      <c r="B217" s="14" t="s">
        <v>449</v>
      </c>
      <c r="C217" s="15">
        <v>20.0</v>
      </c>
      <c r="D217" s="16">
        <f t="shared" si="1"/>
        <v>14.5</v>
      </c>
      <c r="E217" s="17">
        <v>290.0</v>
      </c>
      <c r="F217" s="16">
        <f>D217*1.1722</f>
        <v>16.9969</v>
      </c>
      <c r="G217" s="16">
        <f>E217*1.13794</f>
        <v>330.0026</v>
      </c>
      <c r="H217" s="16">
        <f t="shared" si="2"/>
        <v>16.50013</v>
      </c>
      <c r="I217" s="18">
        <f t="shared" si="39"/>
        <v>1</v>
      </c>
      <c r="J217" s="19">
        <v>18.0</v>
      </c>
    </row>
    <row r="218" ht="15.75" customHeight="1">
      <c r="A218" s="13" t="s">
        <v>450</v>
      </c>
      <c r="B218" s="14" t="s">
        <v>451</v>
      </c>
      <c r="C218" s="15">
        <v>10.0</v>
      </c>
      <c r="D218" s="16">
        <f t="shared" si="1"/>
        <v>6</v>
      </c>
      <c r="E218" s="17">
        <v>60.0</v>
      </c>
      <c r="F218" s="16">
        <f>D218*1.9999</f>
        <v>11.9994</v>
      </c>
      <c r="G218" s="16">
        <f>E218*1.66666</f>
        <v>99.9996</v>
      </c>
      <c r="H218" s="16">
        <f t="shared" si="2"/>
        <v>9.99996</v>
      </c>
      <c r="I218" s="18">
        <f t="shared" si="39"/>
        <v>1</v>
      </c>
      <c r="J218" s="19">
        <v>14.0</v>
      </c>
    </row>
    <row r="219" ht="15.75" customHeight="1">
      <c r="A219" s="13" t="s">
        <v>452</v>
      </c>
      <c r="B219" s="14" t="s">
        <v>453</v>
      </c>
      <c r="C219" s="15">
        <v>5.0</v>
      </c>
      <c r="D219" s="16">
        <f t="shared" si="1"/>
        <v>8</v>
      </c>
      <c r="E219" s="17">
        <v>40.0</v>
      </c>
      <c r="F219" s="16">
        <f>D219*1.5</f>
        <v>12</v>
      </c>
      <c r="G219" s="16">
        <f>E219*1.25</f>
        <v>50</v>
      </c>
      <c r="H219" s="16">
        <f t="shared" si="2"/>
        <v>10</v>
      </c>
      <c r="I219" s="18">
        <f t="shared" si="39"/>
        <v>1</v>
      </c>
      <c r="J219" s="19">
        <v>14.0</v>
      </c>
    </row>
    <row r="220" ht="15.75" customHeight="1">
      <c r="A220" s="13" t="s">
        <v>454</v>
      </c>
      <c r="B220" s="14" t="s">
        <v>455</v>
      </c>
      <c r="C220" s="15">
        <v>20.0</v>
      </c>
      <c r="D220" s="16">
        <f t="shared" si="1"/>
        <v>6</v>
      </c>
      <c r="E220" s="17">
        <v>120.0</v>
      </c>
      <c r="F220" s="16">
        <f>D220*1.6666</f>
        <v>9.9996</v>
      </c>
      <c r="G220" s="16">
        <f t="shared" ref="G220:G425" si="62">E220*1.5</f>
        <v>180</v>
      </c>
      <c r="H220" s="16">
        <f t="shared" si="2"/>
        <v>9</v>
      </c>
      <c r="I220" s="18">
        <f t="shared" si="39"/>
        <v>1</v>
      </c>
      <c r="J220" s="19">
        <v>14.0</v>
      </c>
      <c r="K220" s="39" t="s">
        <v>456</v>
      </c>
    </row>
    <row r="221" ht="15.75" customHeight="1">
      <c r="A221" s="45" t="s">
        <v>457</v>
      </c>
      <c r="B221" s="46" t="s">
        <v>458</v>
      </c>
      <c r="C221" s="47">
        <v>1.0</v>
      </c>
      <c r="D221" s="48">
        <f t="shared" si="1"/>
        <v>0</v>
      </c>
      <c r="E221" s="49">
        <v>0.0</v>
      </c>
      <c r="F221" s="48">
        <f t="shared" ref="F221:F425" si="63">D221*1.8</f>
        <v>0</v>
      </c>
      <c r="G221" s="48">
        <f t="shared" si="62"/>
        <v>0</v>
      </c>
      <c r="H221" s="48">
        <f t="shared" si="2"/>
        <v>0</v>
      </c>
      <c r="I221" s="18">
        <f t="shared" si="39"/>
        <v>1</v>
      </c>
    </row>
    <row r="222" ht="15.75" customHeight="1">
      <c r="A222" s="45" t="s">
        <v>459</v>
      </c>
      <c r="B222" s="46" t="s">
        <v>460</v>
      </c>
      <c r="C222" s="47">
        <v>1.0</v>
      </c>
      <c r="D222" s="48">
        <f t="shared" si="1"/>
        <v>0</v>
      </c>
      <c r="E222" s="49">
        <v>0.0</v>
      </c>
      <c r="F222" s="48">
        <f t="shared" si="63"/>
        <v>0</v>
      </c>
      <c r="G222" s="48">
        <f t="shared" si="62"/>
        <v>0</v>
      </c>
      <c r="H222" s="48">
        <f t="shared" si="2"/>
        <v>0</v>
      </c>
      <c r="I222" s="18">
        <f t="shared" si="39"/>
        <v>1</v>
      </c>
    </row>
    <row r="223" ht="15.75" customHeight="1">
      <c r="A223" s="45" t="s">
        <v>461</v>
      </c>
      <c r="B223" s="46" t="s">
        <v>462</v>
      </c>
      <c r="C223" s="47">
        <v>1.0</v>
      </c>
      <c r="D223" s="48">
        <f t="shared" si="1"/>
        <v>0</v>
      </c>
      <c r="E223" s="49">
        <v>0.0</v>
      </c>
      <c r="F223" s="48">
        <f t="shared" si="63"/>
        <v>0</v>
      </c>
      <c r="G223" s="48">
        <f t="shared" si="62"/>
        <v>0</v>
      </c>
      <c r="H223" s="48">
        <f t="shared" si="2"/>
        <v>0</v>
      </c>
      <c r="I223" s="18">
        <f t="shared" si="39"/>
        <v>1</v>
      </c>
    </row>
    <row r="224" ht="15.75" customHeight="1">
      <c r="A224" s="45" t="s">
        <v>463</v>
      </c>
      <c r="B224" s="46" t="s">
        <v>464</v>
      </c>
      <c r="C224" s="47">
        <v>1.0</v>
      </c>
      <c r="D224" s="48">
        <f t="shared" si="1"/>
        <v>0</v>
      </c>
      <c r="E224" s="49">
        <v>0.0</v>
      </c>
      <c r="F224" s="48">
        <f t="shared" si="63"/>
        <v>0</v>
      </c>
      <c r="G224" s="48">
        <f t="shared" si="62"/>
        <v>0</v>
      </c>
      <c r="H224" s="48">
        <f t="shared" si="2"/>
        <v>0</v>
      </c>
      <c r="I224" s="18">
        <f t="shared" si="39"/>
        <v>1</v>
      </c>
    </row>
    <row r="225" ht="15.75" customHeight="1">
      <c r="A225" s="45" t="s">
        <v>465</v>
      </c>
      <c r="B225" s="46" t="s">
        <v>466</v>
      </c>
      <c r="C225" s="47">
        <v>1.0</v>
      </c>
      <c r="D225" s="48">
        <f t="shared" si="1"/>
        <v>0</v>
      </c>
      <c r="E225" s="49">
        <v>0.0</v>
      </c>
      <c r="F225" s="48">
        <f t="shared" si="63"/>
        <v>0</v>
      </c>
      <c r="G225" s="48">
        <f t="shared" si="62"/>
        <v>0</v>
      </c>
      <c r="H225" s="48">
        <f t="shared" si="2"/>
        <v>0</v>
      </c>
      <c r="I225" s="18">
        <f t="shared" si="39"/>
        <v>1</v>
      </c>
    </row>
    <row r="226" ht="15.75" customHeight="1">
      <c r="A226" s="45" t="s">
        <v>467</v>
      </c>
      <c r="B226" s="46" t="s">
        <v>468</v>
      </c>
      <c r="C226" s="47">
        <v>1.0</v>
      </c>
      <c r="D226" s="48">
        <f t="shared" si="1"/>
        <v>0</v>
      </c>
      <c r="E226" s="49">
        <v>0.0</v>
      </c>
      <c r="F226" s="48">
        <f t="shared" si="63"/>
        <v>0</v>
      </c>
      <c r="G226" s="48">
        <f t="shared" si="62"/>
        <v>0</v>
      </c>
      <c r="H226" s="48">
        <f t="shared" si="2"/>
        <v>0</v>
      </c>
      <c r="I226" s="18">
        <f t="shared" si="39"/>
        <v>1</v>
      </c>
    </row>
    <row r="227" ht="15.75" customHeight="1">
      <c r="A227" s="45" t="s">
        <v>469</v>
      </c>
      <c r="B227" s="46" t="s">
        <v>470</v>
      </c>
      <c r="C227" s="47">
        <v>1.0</v>
      </c>
      <c r="D227" s="48">
        <f t="shared" si="1"/>
        <v>0</v>
      </c>
      <c r="E227" s="49">
        <v>0.0</v>
      </c>
      <c r="F227" s="48">
        <f t="shared" si="63"/>
        <v>0</v>
      </c>
      <c r="G227" s="48">
        <f t="shared" si="62"/>
        <v>0</v>
      </c>
      <c r="H227" s="48">
        <f t="shared" si="2"/>
        <v>0</v>
      </c>
      <c r="I227" s="18">
        <f t="shared" si="39"/>
        <v>1</v>
      </c>
    </row>
    <row r="228" ht="15.75" customHeight="1">
      <c r="A228" s="45" t="s">
        <v>471</v>
      </c>
      <c r="B228" s="46" t="s">
        <v>472</v>
      </c>
      <c r="C228" s="47">
        <v>1.0</v>
      </c>
      <c r="D228" s="48">
        <f t="shared" si="1"/>
        <v>0</v>
      </c>
      <c r="E228" s="49">
        <v>0.0</v>
      </c>
      <c r="F228" s="48">
        <f t="shared" si="63"/>
        <v>0</v>
      </c>
      <c r="G228" s="48">
        <f t="shared" si="62"/>
        <v>0</v>
      </c>
      <c r="H228" s="48">
        <f t="shared" si="2"/>
        <v>0</v>
      </c>
      <c r="I228" s="18">
        <f t="shared" si="39"/>
        <v>1</v>
      </c>
    </row>
    <row r="229" ht="15.75" customHeight="1">
      <c r="A229" s="45" t="s">
        <v>473</v>
      </c>
      <c r="B229" s="46" t="s">
        <v>474</v>
      </c>
      <c r="C229" s="47">
        <v>1.0</v>
      </c>
      <c r="D229" s="48">
        <f t="shared" si="1"/>
        <v>0</v>
      </c>
      <c r="E229" s="49">
        <v>0.0</v>
      </c>
      <c r="F229" s="48">
        <f t="shared" si="63"/>
        <v>0</v>
      </c>
      <c r="G229" s="48">
        <f t="shared" si="62"/>
        <v>0</v>
      </c>
      <c r="H229" s="48">
        <f t="shared" si="2"/>
        <v>0</v>
      </c>
      <c r="I229" s="18">
        <f t="shared" si="39"/>
        <v>1</v>
      </c>
    </row>
    <row r="230" ht="15.75" customHeight="1">
      <c r="A230" s="45" t="s">
        <v>475</v>
      </c>
      <c r="B230" s="46" t="s">
        <v>476</v>
      </c>
      <c r="C230" s="47">
        <v>1.0</v>
      </c>
      <c r="D230" s="48">
        <f t="shared" si="1"/>
        <v>0</v>
      </c>
      <c r="E230" s="49">
        <v>0.0</v>
      </c>
      <c r="F230" s="48">
        <f t="shared" si="63"/>
        <v>0</v>
      </c>
      <c r="G230" s="48">
        <f t="shared" si="62"/>
        <v>0</v>
      </c>
      <c r="H230" s="48">
        <f t="shared" si="2"/>
        <v>0</v>
      </c>
      <c r="I230" s="18">
        <f t="shared" si="39"/>
        <v>1</v>
      </c>
    </row>
    <row r="231" ht="15.75" customHeight="1">
      <c r="A231" s="45" t="s">
        <v>477</v>
      </c>
      <c r="B231" s="46" t="s">
        <v>478</v>
      </c>
      <c r="C231" s="47">
        <v>1.0</v>
      </c>
      <c r="D231" s="48">
        <f t="shared" si="1"/>
        <v>0</v>
      </c>
      <c r="E231" s="49">
        <v>0.0</v>
      </c>
      <c r="F231" s="48">
        <f t="shared" si="63"/>
        <v>0</v>
      </c>
      <c r="G231" s="48">
        <f t="shared" si="62"/>
        <v>0</v>
      </c>
      <c r="H231" s="48">
        <f t="shared" si="2"/>
        <v>0</v>
      </c>
      <c r="I231" s="18">
        <f t="shared" si="39"/>
        <v>1</v>
      </c>
    </row>
    <row r="232" ht="15.75" customHeight="1">
      <c r="A232" s="45" t="s">
        <v>479</v>
      </c>
      <c r="B232" s="46" t="s">
        <v>480</v>
      </c>
      <c r="C232" s="47">
        <v>1.0</v>
      </c>
      <c r="D232" s="48">
        <f t="shared" si="1"/>
        <v>0</v>
      </c>
      <c r="E232" s="49">
        <v>0.0</v>
      </c>
      <c r="F232" s="48">
        <f t="shared" si="63"/>
        <v>0</v>
      </c>
      <c r="G232" s="48">
        <f t="shared" si="62"/>
        <v>0</v>
      </c>
      <c r="H232" s="48">
        <f t="shared" si="2"/>
        <v>0</v>
      </c>
      <c r="I232" s="18">
        <f t="shared" si="39"/>
        <v>1</v>
      </c>
    </row>
    <row r="233" ht="15.75" customHeight="1">
      <c r="A233" s="45" t="s">
        <v>481</v>
      </c>
      <c r="B233" s="46" t="s">
        <v>482</v>
      </c>
      <c r="C233" s="47">
        <v>1.0</v>
      </c>
      <c r="D233" s="48">
        <f t="shared" si="1"/>
        <v>0</v>
      </c>
      <c r="E233" s="49">
        <v>0.0</v>
      </c>
      <c r="F233" s="48">
        <f t="shared" si="63"/>
        <v>0</v>
      </c>
      <c r="G233" s="48">
        <f t="shared" si="62"/>
        <v>0</v>
      </c>
      <c r="H233" s="48">
        <f t="shared" si="2"/>
        <v>0</v>
      </c>
      <c r="I233" s="18">
        <f t="shared" si="39"/>
        <v>1</v>
      </c>
    </row>
    <row r="234" ht="15.75" customHeight="1">
      <c r="A234" s="45" t="s">
        <v>483</v>
      </c>
      <c r="B234" s="46" t="s">
        <v>484</v>
      </c>
      <c r="C234" s="47">
        <v>1.0</v>
      </c>
      <c r="D234" s="48">
        <f t="shared" si="1"/>
        <v>0</v>
      </c>
      <c r="E234" s="49">
        <v>0.0</v>
      </c>
      <c r="F234" s="48">
        <f t="shared" si="63"/>
        <v>0</v>
      </c>
      <c r="G234" s="48">
        <f t="shared" si="62"/>
        <v>0</v>
      </c>
      <c r="H234" s="48">
        <f t="shared" si="2"/>
        <v>0</v>
      </c>
      <c r="I234" s="18">
        <f t="shared" si="39"/>
        <v>1</v>
      </c>
    </row>
    <row r="235" ht="15.75" customHeight="1">
      <c r="A235" s="45" t="s">
        <v>485</v>
      </c>
      <c r="B235" s="46" t="s">
        <v>486</v>
      </c>
      <c r="C235" s="47">
        <v>1.0</v>
      </c>
      <c r="D235" s="48">
        <f t="shared" si="1"/>
        <v>0</v>
      </c>
      <c r="E235" s="49">
        <v>0.0</v>
      </c>
      <c r="F235" s="48">
        <f t="shared" si="63"/>
        <v>0</v>
      </c>
      <c r="G235" s="48">
        <f t="shared" si="62"/>
        <v>0</v>
      </c>
      <c r="H235" s="48">
        <f t="shared" si="2"/>
        <v>0</v>
      </c>
      <c r="I235" s="18">
        <f t="shared" si="39"/>
        <v>1</v>
      </c>
    </row>
    <row r="236" ht="15.75" customHeight="1">
      <c r="A236" s="45" t="s">
        <v>487</v>
      </c>
      <c r="B236" s="46" t="s">
        <v>488</v>
      </c>
      <c r="C236" s="47">
        <v>1.0</v>
      </c>
      <c r="D236" s="48">
        <f t="shared" si="1"/>
        <v>0</v>
      </c>
      <c r="E236" s="49">
        <v>0.0</v>
      </c>
      <c r="F236" s="48">
        <f t="shared" si="63"/>
        <v>0</v>
      </c>
      <c r="G236" s="48">
        <f t="shared" si="62"/>
        <v>0</v>
      </c>
      <c r="H236" s="48">
        <f t="shared" si="2"/>
        <v>0</v>
      </c>
      <c r="I236" s="18">
        <f t="shared" si="39"/>
        <v>1</v>
      </c>
    </row>
    <row r="237" ht="15.75" customHeight="1">
      <c r="A237" s="45" t="s">
        <v>489</v>
      </c>
      <c r="B237" s="46" t="s">
        <v>490</v>
      </c>
      <c r="C237" s="47">
        <v>1.0</v>
      </c>
      <c r="D237" s="48">
        <f t="shared" si="1"/>
        <v>0</v>
      </c>
      <c r="E237" s="49">
        <v>0.0</v>
      </c>
      <c r="F237" s="48">
        <f t="shared" si="63"/>
        <v>0</v>
      </c>
      <c r="G237" s="48">
        <f t="shared" si="62"/>
        <v>0</v>
      </c>
      <c r="H237" s="48">
        <f t="shared" si="2"/>
        <v>0</v>
      </c>
      <c r="I237" s="18">
        <f t="shared" si="39"/>
        <v>1</v>
      </c>
    </row>
    <row r="238" ht="15.75" customHeight="1">
      <c r="A238" s="45" t="s">
        <v>491</v>
      </c>
      <c r="B238" s="46" t="s">
        <v>492</v>
      </c>
      <c r="C238" s="47">
        <v>1.0</v>
      </c>
      <c r="D238" s="48">
        <f t="shared" si="1"/>
        <v>0</v>
      </c>
      <c r="E238" s="49">
        <v>0.0</v>
      </c>
      <c r="F238" s="48">
        <f t="shared" si="63"/>
        <v>0</v>
      </c>
      <c r="G238" s="48">
        <f t="shared" si="62"/>
        <v>0</v>
      </c>
      <c r="H238" s="48">
        <f t="shared" si="2"/>
        <v>0</v>
      </c>
      <c r="I238" s="18">
        <f t="shared" si="39"/>
        <v>1</v>
      </c>
    </row>
    <row r="239" ht="15.75" customHeight="1">
      <c r="A239" s="45" t="s">
        <v>493</v>
      </c>
      <c r="B239" s="46" t="s">
        <v>494</v>
      </c>
      <c r="C239" s="47">
        <v>1.0</v>
      </c>
      <c r="D239" s="48">
        <f t="shared" si="1"/>
        <v>0</v>
      </c>
      <c r="E239" s="49">
        <v>0.0</v>
      </c>
      <c r="F239" s="48">
        <f t="shared" si="63"/>
        <v>0</v>
      </c>
      <c r="G239" s="48">
        <f t="shared" si="62"/>
        <v>0</v>
      </c>
      <c r="H239" s="48">
        <f t="shared" si="2"/>
        <v>0</v>
      </c>
      <c r="I239" s="18">
        <f t="shared" si="39"/>
        <v>1</v>
      </c>
    </row>
    <row r="240" ht="15.75" customHeight="1">
      <c r="A240" s="45" t="s">
        <v>495</v>
      </c>
      <c r="B240" s="46" t="s">
        <v>496</v>
      </c>
      <c r="C240" s="47">
        <v>1.0</v>
      </c>
      <c r="D240" s="48">
        <f t="shared" si="1"/>
        <v>0</v>
      </c>
      <c r="E240" s="49">
        <v>0.0</v>
      </c>
      <c r="F240" s="48">
        <f t="shared" si="63"/>
        <v>0</v>
      </c>
      <c r="G240" s="48">
        <f t="shared" si="62"/>
        <v>0</v>
      </c>
      <c r="H240" s="48">
        <f t="shared" si="2"/>
        <v>0</v>
      </c>
      <c r="I240" s="18">
        <f t="shared" si="39"/>
        <v>1</v>
      </c>
    </row>
    <row r="241" ht="15.75" customHeight="1">
      <c r="A241" s="45" t="s">
        <v>497</v>
      </c>
      <c r="B241" s="46" t="s">
        <v>498</v>
      </c>
      <c r="C241" s="47">
        <v>1.0</v>
      </c>
      <c r="D241" s="48">
        <f t="shared" si="1"/>
        <v>0</v>
      </c>
      <c r="E241" s="49">
        <v>0.0</v>
      </c>
      <c r="F241" s="48">
        <f t="shared" si="63"/>
        <v>0</v>
      </c>
      <c r="G241" s="48">
        <f t="shared" si="62"/>
        <v>0</v>
      </c>
      <c r="H241" s="48">
        <f t="shared" si="2"/>
        <v>0</v>
      </c>
      <c r="I241" s="18">
        <f t="shared" si="39"/>
        <v>1</v>
      </c>
    </row>
    <row r="242" ht="15.75" customHeight="1">
      <c r="A242" s="45" t="s">
        <v>499</v>
      </c>
      <c r="B242" s="46" t="s">
        <v>500</v>
      </c>
      <c r="C242" s="47">
        <v>1.0</v>
      </c>
      <c r="D242" s="48">
        <f t="shared" si="1"/>
        <v>0</v>
      </c>
      <c r="E242" s="49">
        <v>0.0</v>
      </c>
      <c r="F242" s="48">
        <f t="shared" si="63"/>
        <v>0</v>
      </c>
      <c r="G242" s="48">
        <f t="shared" si="62"/>
        <v>0</v>
      </c>
      <c r="H242" s="48">
        <f t="shared" si="2"/>
        <v>0</v>
      </c>
      <c r="I242" s="18">
        <f t="shared" si="39"/>
        <v>1</v>
      </c>
    </row>
    <row r="243" ht="15.75" customHeight="1">
      <c r="A243" s="45" t="s">
        <v>501</v>
      </c>
      <c r="B243" s="46" t="s">
        <v>502</v>
      </c>
      <c r="C243" s="47">
        <v>1.0</v>
      </c>
      <c r="D243" s="48">
        <f t="shared" si="1"/>
        <v>0</v>
      </c>
      <c r="E243" s="49">
        <v>0.0</v>
      </c>
      <c r="F243" s="48">
        <f t="shared" si="63"/>
        <v>0</v>
      </c>
      <c r="G243" s="48">
        <f t="shared" si="62"/>
        <v>0</v>
      </c>
      <c r="H243" s="48">
        <f t="shared" si="2"/>
        <v>0</v>
      </c>
      <c r="I243" s="18">
        <f t="shared" si="39"/>
        <v>1</v>
      </c>
    </row>
    <row r="244" ht="15.75" customHeight="1">
      <c r="A244" s="45" t="s">
        <v>503</v>
      </c>
      <c r="B244" s="46" t="s">
        <v>504</v>
      </c>
      <c r="C244" s="47">
        <v>1.0</v>
      </c>
      <c r="D244" s="48">
        <f t="shared" si="1"/>
        <v>0</v>
      </c>
      <c r="E244" s="49">
        <v>0.0</v>
      </c>
      <c r="F244" s="48">
        <f t="shared" si="63"/>
        <v>0</v>
      </c>
      <c r="G244" s="48">
        <f t="shared" si="62"/>
        <v>0</v>
      </c>
      <c r="H244" s="48">
        <f t="shared" si="2"/>
        <v>0</v>
      </c>
      <c r="I244" s="18">
        <f t="shared" si="39"/>
        <v>1</v>
      </c>
    </row>
    <row r="245" ht="15.75" customHeight="1">
      <c r="A245" s="45" t="s">
        <v>505</v>
      </c>
      <c r="B245" s="46" t="s">
        <v>506</v>
      </c>
      <c r="C245" s="47">
        <v>1.0</v>
      </c>
      <c r="D245" s="48">
        <f t="shared" si="1"/>
        <v>0</v>
      </c>
      <c r="E245" s="49">
        <v>0.0</v>
      </c>
      <c r="F245" s="48">
        <f t="shared" si="63"/>
        <v>0</v>
      </c>
      <c r="G245" s="48">
        <f t="shared" si="62"/>
        <v>0</v>
      </c>
      <c r="H245" s="48">
        <f t="shared" si="2"/>
        <v>0</v>
      </c>
      <c r="I245" s="18">
        <f t="shared" si="39"/>
        <v>1</v>
      </c>
    </row>
    <row r="246" ht="15.75" customHeight="1">
      <c r="A246" s="45" t="s">
        <v>507</v>
      </c>
      <c r="B246" s="46" t="s">
        <v>508</v>
      </c>
      <c r="C246" s="47">
        <v>1.0</v>
      </c>
      <c r="D246" s="48">
        <f t="shared" si="1"/>
        <v>0</v>
      </c>
      <c r="E246" s="49">
        <v>0.0</v>
      </c>
      <c r="F246" s="48">
        <f t="shared" si="63"/>
        <v>0</v>
      </c>
      <c r="G246" s="48">
        <f t="shared" si="62"/>
        <v>0</v>
      </c>
      <c r="H246" s="48">
        <f t="shared" si="2"/>
        <v>0</v>
      </c>
      <c r="I246" s="18">
        <f t="shared" si="39"/>
        <v>1</v>
      </c>
    </row>
    <row r="247" ht="15.75" customHeight="1">
      <c r="A247" s="45" t="s">
        <v>509</v>
      </c>
      <c r="B247" s="46" t="s">
        <v>510</v>
      </c>
      <c r="C247" s="47">
        <v>1.0</v>
      </c>
      <c r="D247" s="48">
        <f t="shared" si="1"/>
        <v>0</v>
      </c>
      <c r="E247" s="49">
        <v>0.0</v>
      </c>
      <c r="F247" s="48">
        <f t="shared" si="63"/>
        <v>0</v>
      </c>
      <c r="G247" s="48">
        <f t="shared" si="62"/>
        <v>0</v>
      </c>
      <c r="H247" s="48">
        <f t="shared" si="2"/>
        <v>0</v>
      </c>
      <c r="I247" s="18">
        <f t="shared" si="39"/>
        <v>1</v>
      </c>
    </row>
    <row r="248" ht="15.75" customHeight="1">
      <c r="A248" s="45" t="s">
        <v>511</v>
      </c>
      <c r="B248" s="46" t="s">
        <v>512</v>
      </c>
      <c r="C248" s="47">
        <v>1.0</v>
      </c>
      <c r="D248" s="48">
        <f t="shared" si="1"/>
        <v>0</v>
      </c>
      <c r="E248" s="49">
        <v>0.0</v>
      </c>
      <c r="F248" s="48">
        <f t="shared" si="63"/>
        <v>0</v>
      </c>
      <c r="G248" s="48">
        <f t="shared" si="62"/>
        <v>0</v>
      </c>
      <c r="H248" s="48">
        <f t="shared" si="2"/>
        <v>0</v>
      </c>
      <c r="I248" s="18">
        <f t="shared" si="39"/>
        <v>1</v>
      </c>
    </row>
    <row r="249" ht="15.75" customHeight="1">
      <c r="A249" s="45" t="s">
        <v>513</v>
      </c>
      <c r="B249" s="46" t="s">
        <v>514</v>
      </c>
      <c r="C249" s="47">
        <v>1.0</v>
      </c>
      <c r="D249" s="48">
        <f t="shared" si="1"/>
        <v>0</v>
      </c>
      <c r="E249" s="49">
        <v>0.0</v>
      </c>
      <c r="F249" s="48">
        <f t="shared" si="63"/>
        <v>0</v>
      </c>
      <c r="G249" s="48">
        <f t="shared" si="62"/>
        <v>0</v>
      </c>
      <c r="H249" s="48">
        <f t="shared" si="2"/>
        <v>0</v>
      </c>
      <c r="I249" s="18">
        <f t="shared" si="39"/>
        <v>1</v>
      </c>
    </row>
    <row r="250" ht="15.75" customHeight="1">
      <c r="A250" s="45" t="s">
        <v>515</v>
      </c>
      <c r="B250" s="46" t="s">
        <v>516</v>
      </c>
      <c r="C250" s="47">
        <v>1.0</v>
      </c>
      <c r="D250" s="48">
        <f t="shared" si="1"/>
        <v>0</v>
      </c>
      <c r="E250" s="49">
        <v>0.0</v>
      </c>
      <c r="F250" s="48">
        <f t="shared" si="63"/>
        <v>0</v>
      </c>
      <c r="G250" s="48">
        <f t="shared" si="62"/>
        <v>0</v>
      </c>
      <c r="H250" s="48">
        <f t="shared" si="2"/>
        <v>0</v>
      </c>
      <c r="I250" s="18">
        <f t="shared" si="39"/>
        <v>1</v>
      </c>
    </row>
    <row r="251" ht="15.75" customHeight="1">
      <c r="A251" s="45" t="s">
        <v>517</v>
      </c>
      <c r="B251" s="46" t="s">
        <v>518</v>
      </c>
      <c r="C251" s="47">
        <v>1.0</v>
      </c>
      <c r="D251" s="48">
        <f t="shared" si="1"/>
        <v>0</v>
      </c>
      <c r="E251" s="49">
        <v>0.0</v>
      </c>
      <c r="F251" s="48">
        <f t="shared" si="63"/>
        <v>0</v>
      </c>
      <c r="G251" s="48">
        <f t="shared" si="62"/>
        <v>0</v>
      </c>
      <c r="H251" s="48">
        <f t="shared" si="2"/>
        <v>0</v>
      </c>
      <c r="I251" s="18">
        <f t="shared" si="39"/>
        <v>1</v>
      </c>
    </row>
    <row r="252" ht="15.75" customHeight="1">
      <c r="A252" s="45" t="s">
        <v>519</v>
      </c>
      <c r="B252" s="46" t="s">
        <v>520</v>
      </c>
      <c r="C252" s="47">
        <v>1.0</v>
      </c>
      <c r="D252" s="48">
        <f t="shared" si="1"/>
        <v>0</v>
      </c>
      <c r="E252" s="49">
        <v>0.0</v>
      </c>
      <c r="F252" s="48">
        <f t="shared" si="63"/>
        <v>0</v>
      </c>
      <c r="G252" s="48">
        <f t="shared" si="62"/>
        <v>0</v>
      </c>
      <c r="H252" s="48">
        <f t="shared" si="2"/>
        <v>0</v>
      </c>
      <c r="I252" s="18">
        <f t="shared" si="39"/>
        <v>1</v>
      </c>
    </row>
    <row r="253" ht="15.75" customHeight="1">
      <c r="A253" s="45" t="s">
        <v>521</v>
      </c>
      <c r="B253" s="46" t="s">
        <v>522</v>
      </c>
      <c r="C253" s="47">
        <v>1.0</v>
      </c>
      <c r="D253" s="48">
        <f t="shared" si="1"/>
        <v>0</v>
      </c>
      <c r="E253" s="49">
        <v>0.0</v>
      </c>
      <c r="F253" s="48">
        <f t="shared" si="63"/>
        <v>0</v>
      </c>
      <c r="G253" s="48">
        <f t="shared" si="62"/>
        <v>0</v>
      </c>
      <c r="H253" s="48">
        <f t="shared" si="2"/>
        <v>0</v>
      </c>
      <c r="I253" s="18">
        <f t="shared" si="39"/>
        <v>1</v>
      </c>
    </row>
    <row r="254" ht="15.75" customHeight="1">
      <c r="A254" s="45" t="s">
        <v>523</v>
      </c>
      <c r="B254" s="46" t="s">
        <v>524</v>
      </c>
      <c r="C254" s="47">
        <v>1.0</v>
      </c>
      <c r="D254" s="48">
        <f t="shared" si="1"/>
        <v>0</v>
      </c>
      <c r="E254" s="49">
        <v>0.0</v>
      </c>
      <c r="F254" s="48">
        <f t="shared" si="63"/>
        <v>0</v>
      </c>
      <c r="G254" s="48">
        <f t="shared" si="62"/>
        <v>0</v>
      </c>
      <c r="H254" s="48">
        <f t="shared" si="2"/>
        <v>0</v>
      </c>
      <c r="I254" s="18">
        <f t="shared" si="39"/>
        <v>1</v>
      </c>
    </row>
    <row r="255" ht="15.75" customHeight="1">
      <c r="A255" s="45" t="s">
        <v>525</v>
      </c>
      <c r="B255" s="46" t="s">
        <v>526</v>
      </c>
      <c r="C255" s="47">
        <v>1.0</v>
      </c>
      <c r="D255" s="48">
        <f t="shared" si="1"/>
        <v>0</v>
      </c>
      <c r="E255" s="49">
        <v>0.0</v>
      </c>
      <c r="F255" s="48">
        <f t="shared" si="63"/>
        <v>0</v>
      </c>
      <c r="G255" s="48">
        <f t="shared" si="62"/>
        <v>0</v>
      </c>
      <c r="H255" s="48">
        <f t="shared" si="2"/>
        <v>0</v>
      </c>
      <c r="I255" s="18">
        <f t="shared" si="39"/>
        <v>1</v>
      </c>
    </row>
    <row r="256" ht="15.75" customHeight="1">
      <c r="A256" s="45" t="s">
        <v>527</v>
      </c>
      <c r="B256" s="46" t="s">
        <v>528</v>
      </c>
      <c r="C256" s="47">
        <v>1.0</v>
      </c>
      <c r="D256" s="48">
        <f t="shared" si="1"/>
        <v>0</v>
      </c>
      <c r="E256" s="49">
        <v>0.0</v>
      </c>
      <c r="F256" s="48">
        <f t="shared" si="63"/>
        <v>0</v>
      </c>
      <c r="G256" s="48">
        <f t="shared" si="62"/>
        <v>0</v>
      </c>
      <c r="H256" s="48">
        <f t="shared" si="2"/>
        <v>0</v>
      </c>
      <c r="I256" s="18">
        <f t="shared" si="39"/>
        <v>1</v>
      </c>
    </row>
    <row r="257" ht="15.75" customHeight="1">
      <c r="A257" s="45" t="s">
        <v>529</v>
      </c>
      <c r="B257" s="46" t="s">
        <v>530</v>
      </c>
      <c r="C257" s="47">
        <v>1.0</v>
      </c>
      <c r="D257" s="48">
        <f t="shared" si="1"/>
        <v>0</v>
      </c>
      <c r="E257" s="49">
        <v>0.0</v>
      </c>
      <c r="F257" s="48">
        <f t="shared" si="63"/>
        <v>0</v>
      </c>
      <c r="G257" s="48">
        <f t="shared" si="62"/>
        <v>0</v>
      </c>
      <c r="H257" s="48">
        <f t="shared" si="2"/>
        <v>0</v>
      </c>
      <c r="I257" s="18">
        <f t="shared" si="39"/>
        <v>1</v>
      </c>
    </row>
    <row r="258" ht="15.75" customHeight="1">
      <c r="A258" s="45" t="s">
        <v>531</v>
      </c>
      <c r="B258" s="46" t="s">
        <v>532</v>
      </c>
      <c r="C258" s="47">
        <v>1.0</v>
      </c>
      <c r="D258" s="48">
        <f t="shared" si="1"/>
        <v>0</v>
      </c>
      <c r="E258" s="49">
        <v>0.0</v>
      </c>
      <c r="F258" s="48">
        <f t="shared" si="63"/>
        <v>0</v>
      </c>
      <c r="G258" s="48">
        <f t="shared" si="62"/>
        <v>0</v>
      </c>
      <c r="H258" s="48">
        <f t="shared" si="2"/>
        <v>0</v>
      </c>
      <c r="I258" s="18">
        <f t="shared" si="39"/>
        <v>1</v>
      </c>
    </row>
    <row r="259" ht="15.75" customHeight="1">
      <c r="A259" s="45" t="s">
        <v>533</v>
      </c>
      <c r="B259" s="46" t="s">
        <v>534</v>
      </c>
      <c r="C259" s="47">
        <v>1.0</v>
      </c>
      <c r="D259" s="48">
        <f t="shared" si="1"/>
        <v>0</v>
      </c>
      <c r="E259" s="49">
        <v>0.0</v>
      </c>
      <c r="F259" s="48">
        <f t="shared" si="63"/>
        <v>0</v>
      </c>
      <c r="G259" s="48">
        <f t="shared" si="62"/>
        <v>0</v>
      </c>
      <c r="H259" s="48">
        <f t="shared" si="2"/>
        <v>0</v>
      </c>
      <c r="I259" s="18">
        <f t="shared" si="39"/>
        <v>1</v>
      </c>
    </row>
    <row r="260" ht="15.75" customHeight="1">
      <c r="A260" s="45" t="s">
        <v>535</v>
      </c>
      <c r="B260" s="46" t="s">
        <v>536</v>
      </c>
      <c r="C260" s="47">
        <v>1.0</v>
      </c>
      <c r="D260" s="48">
        <f t="shared" si="1"/>
        <v>0</v>
      </c>
      <c r="E260" s="49">
        <v>0.0</v>
      </c>
      <c r="F260" s="48">
        <f t="shared" si="63"/>
        <v>0</v>
      </c>
      <c r="G260" s="48">
        <f t="shared" si="62"/>
        <v>0</v>
      </c>
      <c r="H260" s="48">
        <f t="shared" si="2"/>
        <v>0</v>
      </c>
      <c r="I260" s="18">
        <f t="shared" si="39"/>
        <v>1</v>
      </c>
    </row>
    <row r="261" ht="15.75" customHeight="1">
      <c r="A261" s="45" t="s">
        <v>537</v>
      </c>
      <c r="B261" s="46" t="s">
        <v>538</v>
      </c>
      <c r="C261" s="47">
        <v>1.0</v>
      </c>
      <c r="D261" s="48">
        <f t="shared" si="1"/>
        <v>0</v>
      </c>
      <c r="E261" s="49">
        <v>0.0</v>
      </c>
      <c r="F261" s="48">
        <f t="shared" si="63"/>
        <v>0</v>
      </c>
      <c r="G261" s="48">
        <f t="shared" si="62"/>
        <v>0</v>
      </c>
      <c r="H261" s="48">
        <f t="shared" si="2"/>
        <v>0</v>
      </c>
      <c r="I261" s="18">
        <f t="shared" si="39"/>
        <v>1</v>
      </c>
    </row>
    <row r="262" ht="15.75" customHeight="1">
      <c r="A262" s="45" t="s">
        <v>539</v>
      </c>
      <c r="B262" s="46" t="s">
        <v>540</v>
      </c>
      <c r="C262" s="47">
        <v>12.0</v>
      </c>
      <c r="D262" s="48">
        <f t="shared" si="1"/>
        <v>1.666666667</v>
      </c>
      <c r="E262" s="49">
        <v>20.0</v>
      </c>
      <c r="F262" s="48">
        <f t="shared" si="63"/>
        <v>3</v>
      </c>
      <c r="G262" s="48">
        <f t="shared" si="62"/>
        <v>30</v>
      </c>
      <c r="H262" s="48">
        <f t="shared" si="2"/>
        <v>2.5</v>
      </c>
      <c r="I262" s="18">
        <f t="shared" si="39"/>
        <v>1</v>
      </c>
    </row>
    <row r="263" ht="15.75" customHeight="1">
      <c r="A263" s="45" t="s">
        <v>541</v>
      </c>
      <c r="B263" s="46" t="s">
        <v>542</v>
      </c>
      <c r="C263" s="47">
        <v>1.0</v>
      </c>
      <c r="D263" s="48">
        <f t="shared" si="1"/>
        <v>0</v>
      </c>
      <c r="E263" s="49">
        <v>0.0</v>
      </c>
      <c r="F263" s="48">
        <f t="shared" si="63"/>
        <v>0</v>
      </c>
      <c r="G263" s="48">
        <f t="shared" si="62"/>
        <v>0</v>
      </c>
      <c r="H263" s="48">
        <f t="shared" si="2"/>
        <v>0</v>
      </c>
      <c r="I263" s="18">
        <f t="shared" si="39"/>
        <v>1</v>
      </c>
    </row>
    <row r="264" ht="15.75" customHeight="1">
      <c r="A264" s="45" t="s">
        <v>543</v>
      </c>
      <c r="B264" s="46" t="s">
        <v>544</v>
      </c>
      <c r="C264" s="47">
        <v>1.0</v>
      </c>
      <c r="D264" s="48">
        <f t="shared" si="1"/>
        <v>0</v>
      </c>
      <c r="E264" s="49">
        <v>0.0</v>
      </c>
      <c r="F264" s="48">
        <f t="shared" si="63"/>
        <v>0</v>
      </c>
      <c r="G264" s="48">
        <f t="shared" si="62"/>
        <v>0</v>
      </c>
      <c r="H264" s="48">
        <f t="shared" si="2"/>
        <v>0</v>
      </c>
      <c r="I264" s="18">
        <f t="shared" si="39"/>
        <v>1</v>
      </c>
    </row>
    <row r="265" ht="15.75" customHeight="1">
      <c r="A265" s="45" t="s">
        <v>545</v>
      </c>
      <c r="B265" s="46" t="s">
        <v>546</v>
      </c>
      <c r="C265" s="47">
        <v>1.0</v>
      </c>
      <c r="D265" s="48">
        <f t="shared" si="1"/>
        <v>0</v>
      </c>
      <c r="E265" s="49">
        <v>0.0</v>
      </c>
      <c r="F265" s="48">
        <f t="shared" si="63"/>
        <v>0</v>
      </c>
      <c r="G265" s="48">
        <f t="shared" si="62"/>
        <v>0</v>
      </c>
      <c r="H265" s="48">
        <f t="shared" si="2"/>
        <v>0</v>
      </c>
      <c r="I265" s="18">
        <f t="shared" si="39"/>
        <v>1</v>
      </c>
    </row>
    <row r="266" ht="15.75" customHeight="1">
      <c r="A266" s="45" t="s">
        <v>547</v>
      </c>
      <c r="B266" s="46" t="s">
        <v>548</v>
      </c>
      <c r="C266" s="47">
        <v>1.0</v>
      </c>
      <c r="D266" s="48">
        <f t="shared" si="1"/>
        <v>0</v>
      </c>
      <c r="E266" s="49">
        <v>0.0</v>
      </c>
      <c r="F266" s="48">
        <f t="shared" si="63"/>
        <v>0</v>
      </c>
      <c r="G266" s="48">
        <f t="shared" si="62"/>
        <v>0</v>
      </c>
      <c r="H266" s="48">
        <f t="shared" si="2"/>
        <v>0</v>
      </c>
      <c r="I266" s="18">
        <f t="shared" si="39"/>
        <v>1</v>
      </c>
    </row>
    <row r="267" ht="15.75" customHeight="1">
      <c r="A267" s="45" t="s">
        <v>549</v>
      </c>
      <c r="B267" s="46" t="s">
        <v>550</v>
      </c>
      <c r="C267" s="47">
        <v>1.0</v>
      </c>
      <c r="D267" s="48">
        <f t="shared" si="1"/>
        <v>0</v>
      </c>
      <c r="E267" s="49">
        <v>0.0</v>
      </c>
      <c r="F267" s="48">
        <f t="shared" si="63"/>
        <v>0</v>
      </c>
      <c r="G267" s="48">
        <f t="shared" si="62"/>
        <v>0</v>
      </c>
      <c r="H267" s="48">
        <f t="shared" si="2"/>
        <v>0</v>
      </c>
      <c r="I267" s="18">
        <f t="shared" si="39"/>
        <v>1</v>
      </c>
    </row>
    <row r="268" ht="15.75" customHeight="1">
      <c r="A268" s="45" t="s">
        <v>551</v>
      </c>
      <c r="B268" s="46" t="s">
        <v>552</v>
      </c>
      <c r="C268" s="47">
        <v>1.0</v>
      </c>
      <c r="D268" s="48">
        <f t="shared" si="1"/>
        <v>0</v>
      </c>
      <c r="E268" s="49">
        <v>0.0</v>
      </c>
      <c r="F268" s="48">
        <f t="shared" si="63"/>
        <v>0</v>
      </c>
      <c r="G268" s="48">
        <f t="shared" si="62"/>
        <v>0</v>
      </c>
      <c r="H268" s="48">
        <f t="shared" si="2"/>
        <v>0</v>
      </c>
      <c r="I268" s="18">
        <f t="shared" si="39"/>
        <v>1</v>
      </c>
    </row>
    <row r="269" ht="15.75" customHeight="1">
      <c r="A269" s="45" t="s">
        <v>553</v>
      </c>
      <c r="B269" s="46" t="s">
        <v>554</v>
      </c>
      <c r="C269" s="47">
        <v>1.0</v>
      </c>
      <c r="D269" s="48">
        <f t="shared" si="1"/>
        <v>0</v>
      </c>
      <c r="E269" s="49">
        <v>0.0</v>
      </c>
      <c r="F269" s="48">
        <f t="shared" si="63"/>
        <v>0</v>
      </c>
      <c r="G269" s="48">
        <f t="shared" si="62"/>
        <v>0</v>
      </c>
      <c r="H269" s="48">
        <f t="shared" si="2"/>
        <v>0</v>
      </c>
      <c r="I269" s="18">
        <f t="shared" si="39"/>
        <v>1</v>
      </c>
    </row>
    <row r="270" ht="15.75" customHeight="1">
      <c r="A270" s="45" t="s">
        <v>555</v>
      </c>
      <c r="B270" s="46" t="s">
        <v>556</v>
      </c>
      <c r="C270" s="47">
        <v>1.0</v>
      </c>
      <c r="D270" s="48">
        <f t="shared" si="1"/>
        <v>0</v>
      </c>
      <c r="E270" s="49">
        <v>0.0</v>
      </c>
      <c r="F270" s="48">
        <f t="shared" si="63"/>
        <v>0</v>
      </c>
      <c r="G270" s="48">
        <f t="shared" si="62"/>
        <v>0</v>
      </c>
      <c r="H270" s="48">
        <f t="shared" si="2"/>
        <v>0</v>
      </c>
      <c r="I270" s="18">
        <f t="shared" si="39"/>
        <v>1</v>
      </c>
    </row>
    <row r="271" ht="15.75" customHeight="1">
      <c r="A271" s="45" t="s">
        <v>557</v>
      </c>
      <c r="B271" s="46" t="s">
        <v>558</v>
      </c>
      <c r="C271" s="47">
        <v>4.0</v>
      </c>
      <c r="D271" s="48">
        <f t="shared" si="1"/>
        <v>8.5</v>
      </c>
      <c r="E271" s="49">
        <v>34.0</v>
      </c>
      <c r="F271" s="48">
        <f t="shared" si="63"/>
        <v>15.3</v>
      </c>
      <c r="G271" s="48">
        <f t="shared" si="62"/>
        <v>51</v>
      </c>
      <c r="H271" s="48">
        <f t="shared" si="2"/>
        <v>12.75</v>
      </c>
      <c r="I271" s="18">
        <f t="shared" si="39"/>
        <v>1</v>
      </c>
    </row>
    <row r="272" ht="15.75" customHeight="1">
      <c r="A272" s="45" t="s">
        <v>559</v>
      </c>
      <c r="B272" s="46" t="s">
        <v>560</v>
      </c>
      <c r="C272" s="47">
        <v>1.0</v>
      </c>
      <c r="D272" s="48">
        <f t="shared" si="1"/>
        <v>0</v>
      </c>
      <c r="E272" s="49">
        <v>0.0</v>
      </c>
      <c r="F272" s="48">
        <f t="shared" si="63"/>
        <v>0</v>
      </c>
      <c r="G272" s="48">
        <f t="shared" si="62"/>
        <v>0</v>
      </c>
      <c r="H272" s="48">
        <f t="shared" si="2"/>
        <v>0</v>
      </c>
      <c r="I272" s="18">
        <f t="shared" si="39"/>
        <v>1</v>
      </c>
    </row>
    <row r="273" ht="15.75" customHeight="1">
      <c r="A273" s="45" t="s">
        <v>561</v>
      </c>
      <c r="B273" s="46" t="s">
        <v>562</v>
      </c>
      <c r="C273" s="47">
        <v>1.0</v>
      </c>
      <c r="D273" s="48">
        <f t="shared" si="1"/>
        <v>0</v>
      </c>
      <c r="E273" s="49">
        <v>0.0</v>
      </c>
      <c r="F273" s="48">
        <f t="shared" si="63"/>
        <v>0</v>
      </c>
      <c r="G273" s="48">
        <f t="shared" si="62"/>
        <v>0</v>
      </c>
      <c r="H273" s="48">
        <f t="shared" si="2"/>
        <v>0</v>
      </c>
      <c r="I273" s="18">
        <f t="shared" si="39"/>
        <v>1</v>
      </c>
    </row>
    <row r="274" ht="15.75" customHeight="1">
      <c r="A274" s="45" t="s">
        <v>563</v>
      </c>
      <c r="B274" s="46" t="s">
        <v>564</v>
      </c>
      <c r="C274" s="47">
        <v>1.0</v>
      </c>
      <c r="D274" s="48">
        <f t="shared" si="1"/>
        <v>0</v>
      </c>
      <c r="E274" s="49">
        <v>0.0</v>
      </c>
      <c r="F274" s="48">
        <f t="shared" si="63"/>
        <v>0</v>
      </c>
      <c r="G274" s="48">
        <f t="shared" si="62"/>
        <v>0</v>
      </c>
      <c r="H274" s="48">
        <f t="shared" si="2"/>
        <v>0</v>
      </c>
      <c r="I274" s="18">
        <f t="shared" si="39"/>
        <v>1</v>
      </c>
    </row>
    <row r="275" ht="15.75" customHeight="1">
      <c r="A275" s="45" t="s">
        <v>565</v>
      </c>
      <c r="B275" s="46" t="s">
        <v>566</v>
      </c>
      <c r="C275" s="47">
        <v>1.0</v>
      </c>
      <c r="D275" s="48">
        <f t="shared" si="1"/>
        <v>0</v>
      </c>
      <c r="E275" s="49">
        <v>0.0</v>
      </c>
      <c r="F275" s="48">
        <f t="shared" si="63"/>
        <v>0</v>
      </c>
      <c r="G275" s="48">
        <f t="shared" si="62"/>
        <v>0</v>
      </c>
      <c r="H275" s="48">
        <f t="shared" si="2"/>
        <v>0</v>
      </c>
      <c r="I275" s="18">
        <f t="shared" si="39"/>
        <v>1</v>
      </c>
    </row>
    <row r="276" ht="15.75" customHeight="1">
      <c r="A276" s="45" t="s">
        <v>567</v>
      </c>
      <c r="B276" s="46" t="s">
        <v>568</v>
      </c>
      <c r="C276" s="47">
        <v>1.0</v>
      </c>
      <c r="D276" s="48">
        <f t="shared" si="1"/>
        <v>0</v>
      </c>
      <c r="E276" s="49">
        <v>0.0</v>
      </c>
      <c r="F276" s="48">
        <f t="shared" si="63"/>
        <v>0</v>
      </c>
      <c r="G276" s="48">
        <f t="shared" si="62"/>
        <v>0</v>
      </c>
      <c r="H276" s="48">
        <f t="shared" si="2"/>
        <v>0</v>
      </c>
      <c r="I276" s="18">
        <f t="shared" si="39"/>
        <v>1</v>
      </c>
    </row>
    <row r="277" ht="15.75" customHeight="1">
      <c r="A277" s="45" t="s">
        <v>569</v>
      </c>
      <c r="B277" s="46" t="s">
        <v>570</v>
      </c>
      <c r="C277" s="47">
        <v>1.0</v>
      </c>
      <c r="D277" s="48">
        <f t="shared" si="1"/>
        <v>0</v>
      </c>
      <c r="E277" s="49">
        <v>0.0</v>
      </c>
      <c r="F277" s="48">
        <f t="shared" si="63"/>
        <v>0</v>
      </c>
      <c r="G277" s="48">
        <f t="shared" si="62"/>
        <v>0</v>
      </c>
      <c r="H277" s="48">
        <f t="shared" si="2"/>
        <v>0</v>
      </c>
      <c r="I277" s="18">
        <f t="shared" si="39"/>
        <v>1</v>
      </c>
    </row>
    <row r="278" ht="15.75" customHeight="1">
      <c r="A278" s="45" t="s">
        <v>571</v>
      </c>
      <c r="B278" s="46" t="s">
        <v>572</v>
      </c>
      <c r="C278" s="47">
        <v>1.0</v>
      </c>
      <c r="D278" s="48">
        <f t="shared" si="1"/>
        <v>0</v>
      </c>
      <c r="E278" s="49">
        <v>0.0</v>
      </c>
      <c r="F278" s="48">
        <f t="shared" si="63"/>
        <v>0</v>
      </c>
      <c r="G278" s="48">
        <f t="shared" si="62"/>
        <v>0</v>
      </c>
      <c r="H278" s="48">
        <f t="shared" si="2"/>
        <v>0</v>
      </c>
      <c r="I278" s="18">
        <f t="shared" si="39"/>
        <v>1</v>
      </c>
    </row>
    <row r="279" ht="15.75" customHeight="1">
      <c r="A279" s="45" t="s">
        <v>573</v>
      </c>
      <c r="B279" s="46" t="s">
        <v>574</v>
      </c>
      <c r="C279" s="47">
        <v>1.0</v>
      </c>
      <c r="D279" s="48">
        <f t="shared" si="1"/>
        <v>0</v>
      </c>
      <c r="E279" s="49">
        <v>0.0</v>
      </c>
      <c r="F279" s="48">
        <f t="shared" si="63"/>
        <v>0</v>
      </c>
      <c r="G279" s="48">
        <f t="shared" si="62"/>
        <v>0</v>
      </c>
      <c r="H279" s="48">
        <f t="shared" si="2"/>
        <v>0</v>
      </c>
      <c r="I279" s="18">
        <f t="shared" si="39"/>
        <v>1</v>
      </c>
    </row>
    <row r="280" ht="15.75" customHeight="1">
      <c r="A280" s="45" t="s">
        <v>575</v>
      </c>
      <c r="B280" s="46" t="s">
        <v>576</v>
      </c>
      <c r="C280" s="47">
        <v>1.0</v>
      </c>
      <c r="D280" s="48">
        <f t="shared" si="1"/>
        <v>0</v>
      </c>
      <c r="E280" s="49">
        <v>0.0</v>
      </c>
      <c r="F280" s="48">
        <f t="shared" si="63"/>
        <v>0</v>
      </c>
      <c r="G280" s="48">
        <f t="shared" si="62"/>
        <v>0</v>
      </c>
      <c r="H280" s="48">
        <f t="shared" si="2"/>
        <v>0</v>
      </c>
      <c r="I280" s="18">
        <f t="shared" si="39"/>
        <v>1</v>
      </c>
    </row>
    <row r="281" ht="15.75" customHeight="1">
      <c r="A281" s="45" t="s">
        <v>577</v>
      </c>
      <c r="B281" s="46" t="s">
        <v>578</v>
      </c>
      <c r="C281" s="47">
        <v>1.0</v>
      </c>
      <c r="D281" s="48">
        <f t="shared" si="1"/>
        <v>0</v>
      </c>
      <c r="E281" s="49">
        <v>0.0</v>
      </c>
      <c r="F281" s="48">
        <f t="shared" si="63"/>
        <v>0</v>
      </c>
      <c r="G281" s="48">
        <f t="shared" si="62"/>
        <v>0</v>
      </c>
      <c r="H281" s="48">
        <f t="shared" si="2"/>
        <v>0</v>
      </c>
      <c r="I281" s="18">
        <f t="shared" si="39"/>
        <v>1</v>
      </c>
    </row>
    <row r="282" ht="15.75" customHeight="1">
      <c r="A282" s="45" t="s">
        <v>579</v>
      </c>
      <c r="B282" s="46" t="s">
        <v>580</v>
      </c>
      <c r="C282" s="47">
        <v>1.0</v>
      </c>
      <c r="D282" s="48">
        <f t="shared" si="1"/>
        <v>0</v>
      </c>
      <c r="E282" s="49">
        <v>0.0</v>
      </c>
      <c r="F282" s="48">
        <f t="shared" si="63"/>
        <v>0</v>
      </c>
      <c r="G282" s="48">
        <f t="shared" si="62"/>
        <v>0</v>
      </c>
      <c r="H282" s="48">
        <f t="shared" si="2"/>
        <v>0</v>
      </c>
      <c r="I282" s="18">
        <f t="shared" si="39"/>
        <v>1</v>
      </c>
    </row>
    <row r="283" ht="15.75" customHeight="1">
      <c r="A283" s="45" t="s">
        <v>581</v>
      </c>
      <c r="B283" s="46" t="s">
        <v>582</v>
      </c>
      <c r="C283" s="47">
        <v>1.0</v>
      </c>
      <c r="D283" s="48">
        <f t="shared" si="1"/>
        <v>0</v>
      </c>
      <c r="E283" s="49">
        <v>0.0</v>
      </c>
      <c r="F283" s="48">
        <f t="shared" si="63"/>
        <v>0</v>
      </c>
      <c r="G283" s="48">
        <f t="shared" si="62"/>
        <v>0</v>
      </c>
      <c r="H283" s="48">
        <f t="shared" si="2"/>
        <v>0</v>
      </c>
      <c r="I283" s="18">
        <f t="shared" si="39"/>
        <v>1</v>
      </c>
    </row>
    <row r="284" ht="15.75" customHeight="1">
      <c r="A284" s="45" t="s">
        <v>583</v>
      </c>
      <c r="B284" s="46" t="s">
        <v>584</v>
      </c>
      <c r="C284" s="47">
        <v>1.0</v>
      </c>
      <c r="D284" s="48">
        <f t="shared" si="1"/>
        <v>0</v>
      </c>
      <c r="E284" s="49">
        <v>0.0</v>
      </c>
      <c r="F284" s="48">
        <f t="shared" si="63"/>
        <v>0</v>
      </c>
      <c r="G284" s="48">
        <f t="shared" si="62"/>
        <v>0</v>
      </c>
      <c r="H284" s="48">
        <f t="shared" si="2"/>
        <v>0</v>
      </c>
      <c r="I284" s="18">
        <f t="shared" si="39"/>
        <v>1</v>
      </c>
    </row>
    <row r="285" ht="15.75" customHeight="1">
      <c r="A285" s="45" t="s">
        <v>585</v>
      </c>
      <c r="B285" s="46" t="s">
        <v>586</v>
      </c>
      <c r="C285" s="47">
        <v>1.0</v>
      </c>
      <c r="D285" s="48">
        <f t="shared" si="1"/>
        <v>0</v>
      </c>
      <c r="E285" s="49">
        <v>0.0</v>
      </c>
      <c r="F285" s="48">
        <f t="shared" si="63"/>
        <v>0</v>
      </c>
      <c r="G285" s="48">
        <f t="shared" si="62"/>
        <v>0</v>
      </c>
      <c r="H285" s="48">
        <f t="shared" si="2"/>
        <v>0</v>
      </c>
      <c r="I285" s="18">
        <f t="shared" si="39"/>
        <v>1</v>
      </c>
    </row>
    <row r="286" ht="15.75" customHeight="1">
      <c r="A286" s="45" t="s">
        <v>587</v>
      </c>
      <c r="B286" s="46" t="s">
        <v>588</v>
      </c>
      <c r="C286" s="47">
        <v>1.0</v>
      </c>
      <c r="D286" s="48">
        <f t="shared" si="1"/>
        <v>0</v>
      </c>
      <c r="E286" s="49">
        <v>0.0</v>
      </c>
      <c r="F286" s="48">
        <f t="shared" si="63"/>
        <v>0</v>
      </c>
      <c r="G286" s="48">
        <f t="shared" si="62"/>
        <v>0</v>
      </c>
      <c r="H286" s="48">
        <f t="shared" si="2"/>
        <v>0</v>
      </c>
      <c r="I286" s="18">
        <f t="shared" si="39"/>
        <v>1</v>
      </c>
    </row>
    <row r="287" ht="15.75" customHeight="1">
      <c r="A287" s="45" t="s">
        <v>589</v>
      </c>
      <c r="B287" s="46" t="s">
        <v>590</v>
      </c>
      <c r="C287" s="47">
        <v>1.0</v>
      </c>
      <c r="D287" s="48">
        <f t="shared" si="1"/>
        <v>0</v>
      </c>
      <c r="E287" s="49">
        <v>0.0</v>
      </c>
      <c r="F287" s="48">
        <f t="shared" si="63"/>
        <v>0</v>
      </c>
      <c r="G287" s="48">
        <f t="shared" si="62"/>
        <v>0</v>
      </c>
      <c r="H287" s="48">
        <f t="shared" si="2"/>
        <v>0</v>
      </c>
      <c r="I287" s="18">
        <f t="shared" si="39"/>
        <v>1</v>
      </c>
    </row>
    <row r="288" ht="15.75" customHeight="1">
      <c r="A288" s="45" t="s">
        <v>591</v>
      </c>
      <c r="B288" s="46" t="s">
        <v>592</v>
      </c>
      <c r="C288" s="47">
        <v>1.0</v>
      </c>
      <c r="D288" s="48">
        <f t="shared" si="1"/>
        <v>0</v>
      </c>
      <c r="E288" s="49">
        <v>0.0</v>
      </c>
      <c r="F288" s="48">
        <f t="shared" si="63"/>
        <v>0</v>
      </c>
      <c r="G288" s="48">
        <f t="shared" si="62"/>
        <v>0</v>
      </c>
      <c r="H288" s="48">
        <f t="shared" si="2"/>
        <v>0</v>
      </c>
      <c r="I288" s="18">
        <f t="shared" si="39"/>
        <v>1</v>
      </c>
    </row>
    <row r="289" ht="15.75" customHeight="1">
      <c r="A289" s="45" t="s">
        <v>593</v>
      </c>
      <c r="B289" s="46" t="s">
        <v>594</v>
      </c>
      <c r="C289" s="47">
        <v>1.0</v>
      </c>
      <c r="D289" s="48">
        <f t="shared" si="1"/>
        <v>0</v>
      </c>
      <c r="E289" s="49">
        <v>0.0</v>
      </c>
      <c r="F289" s="48">
        <f t="shared" si="63"/>
        <v>0</v>
      </c>
      <c r="G289" s="48">
        <f t="shared" si="62"/>
        <v>0</v>
      </c>
      <c r="H289" s="48">
        <f t="shared" si="2"/>
        <v>0</v>
      </c>
      <c r="I289" s="18">
        <f t="shared" si="39"/>
        <v>1</v>
      </c>
    </row>
    <row r="290" ht="15.75" customHeight="1">
      <c r="A290" s="45" t="s">
        <v>595</v>
      </c>
      <c r="B290" s="46" t="s">
        <v>596</v>
      </c>
      <c r="C290" s="47">
        <v>1.0</v>
      </c>
      <c r="D290" s="48">
        <f t="shared" si="1"/>
        <v>0</v>
      </c>
      <c r="E290" s="49">
        <v>0.0</v>
      </c>
      <c r="F290" s="48">
        <f t="shared" si="63"/>
        <v>0</v>
      </c>
      <c r="G290" s="48">
        <f t="shared" si="62"/>
        <v>0</v>
      </c>
      <c r="H290" s="48">
        <f t="shared" si="2"/>
        <v>0</v>
      </c>
      <c r="I290" s="18">
        <f t="shared" si="39"/>
        <v>1</v>
      </c>
    </row>
    <row r="291" ht="15.75" customHeight="1">
      <c r="A291" s="45" t="s">
        <v>597</v>
      </c>
      <c r="B291" s="46" t="s">
        <v>598</v>
      </c>
      <c r="C291" s="47">
        <v>1.0</v>
      </c>
      <c r="D291" s="48">
        <f t="shared" si="1"/>
        <v>0</v>
      </c>
      <c r="E291" s="49">
        <v>0.0</v>
      </c>
      <c r="F291" s="48">
        <f t="shared" si="63"/>
        <v>0</v>
      </c>
      <c r="G291" s="48">
        <f t="shared" si="62"/>
        <v>0</v>
      </c>
      <c r="H291" s="48">
        <f t="shared" si="2"/>
        <v>0</v>
      </c>
      <c r="I291" s="18">
        <f t="shared" si="39"/>
        <v>1</v>
      </c>
    </row>
    <row r="292" ht="15.75" customHeight="1">
      <c r="A292" s="45" t="s">
        <v>599</v>
      </c>
      <c r="B292" s="46" t="s">
        <v>600</v>
      </c>
      <c r="C292" s="47">
        <v>1.0</v>
      </c>
      <c r="D292" s="48">
        <f t="shared" si="1"/>
        <v>0</v>
      </c>
      <c r="E292" s="49">
        <v>0.0</v>
      </c>
      <c r="F292" s="48">
        <f t="shared" si="63"/>
        <v>0</v>
      </c>
      <c r="G292" s="48">
        <f t="shared" si="62"/>
        <v>0</v>
      </c>
      <c r="H292" s="48">
        <f t="shared" si="2"/>
        <v>0</v>
      </c>
      <c r="I292" s="18">
        <f t="shared" si="39"/>
        <v>1</v>
      </c>
    </row>
    <row r="293" ht="15.75" customHeight="1">
      <c r="A293" s="45" t="s">
        <v>601</v>
      </c>
      <c r="B293" s="46" t="s">
        <v>602</v>
      </c>
      <c r="C293" s="47">
        <v>1.0</v>
      </c>
      <c r="D293" s="48">
        <f t="shared" si="1"/>
        <v>0</v>
      </c>
      <c r="E293" s="49">
        <v>0.0</v>
      </c>
      <c r="F293" s="48">
        <f t="shared" si="63"/>
        <v>0</v>
      </c>
      <c r="G293" s="48">
        <f t="shared" si="62"/>
        <v>0</v>
      </c>
      <c r="H293" s="48">
        <f t="shared" si="2"/>
        <v>0</v>
      </c>
      <c r="I293" s="18">
        <f t="shared" si="39"/>
        <v>1</v>
      </c>
    </row>
    <row r="294" ht="15.75" customHeight="1">
      <c r="A294" s="45" t="s">
        <v>603</v>
      </c>
      <c r="B294" s="46" t="s">
        <v>604</v>
      </c>
      <c r="C294" s="47">
        <v>1.0</v>
      </c>
      <c r="D294" s="48">
        <f t="shared" si="1"/>
        <v>0</v>
      </c>
      <c r="E294" s="49">
        <v>0.0</v>
      </c>
      <c r="F294" s="48">
        <f t="shared" si="63"/>
        <v>0</v>
      </c>
      <c r="G294" s="48">
        <f t="shared" si="62"/>
        <v>0</v>
      </c>
      <c r="H294" s="48">
        <f t="shared" si="2"/>
        <v>0</v>
      </c>
      <c r="I294" s="18">
        <f t="shared" si="39"/>
        <v>1</v>
      </c>
    </row>
    <row r="295" ht="15.75" customHeight="1">
      <c r="A295" s="45" t="s">
        <v>605</v>
      </c>
      <c r="B295" s="46" t="s">
        <v>606</v>
      </c>
      <c r="C295" s="47">
        <v>1.0</v>
      </c>
      <c r="D295" s="48">
        <f t="shared" si="1"/>
        <v>0</v>
      </c>
      <c r="E295" s="49">
        <v>0.0</v>
      </c>
      <c r="F295" s="48">
        <f t="shared" si="63"/>
        <v>0</v>
      </c>
      <c r="G295" s="48">
        <f t="shared" si="62"/>
        <v>0</v>
      </c>
      <c r="H295" s="48">
        <f t="shared" si="2"/>
        <v>0</v>
      </c>
      <c r="I295" s="18">
        <f t="shared" si="39"/>
        <v>1</v>
      </c>
    </row>
    <row r="296" ht="15.75" customHeight="1">
      <c r="A296" s="45" t="s">
        <v>607</v>
      </c>
      <c r="B296" s="46" t="s">
        <v>608</v>
      </c>
      <c r="C296" s="47">
        <v>1.0</v>
      </c>
      <c r="D296" s="48">
        <f t="shared" si="1"/>
        <v>0</v>
      </c>
      <c r="E296" s="49">
        <v>0.0</v>
      </c>
      <c r="F296" s="48">
        <f t="shared" si="63"/>
        <v>0</v>
      </c>
      <c r="G296" s="48">
        <f t="shared" si="62"/>
        <v>0</v>
      </c>
      <c r="H296" s="48">
        <f t="shared" si="2"/>
        <v>0</v>
      </c>
      <c r="I296" s="18">
        <f t="shared" si="39"/>
        <v>1</v>
      </c>
    </row>
    <row r="297" ht="15.75" customHeight="1">
      <c r="A297" s="45" t="s">
        <v>609</v>
      </c>
      <c r="B297" s="46" t="s">
        <v>610</v>
      </c>
      <c r="C297" s="47">
        <v>1.0</v>
      </c>
      <c r="D297" s="48">
        <f t="shared" si="1"/>
        <v>0</v>
      </c>
      <c r="E297" s="49">
        <v>0.0</v>
      </c>
      <c r="F297" s="48">
        <f t="shared" si="63"/>
        <v>0</v>
      </c>
      <c r="G297" s="48">
        <f t="shared" si="62"/>
        <v>0</v>
      </c>
      <c r="H297" s="48">
        <f t="shared" si="2"/>
        <v>0</v>
      </c>
      <c r="I297" s="18">
        <f t="shared" si="39"/>
        <v>1</v>
      </c>
    </row>
    <row r="298" ht="15.75" customHeight="1">
      <c r="A298" s="45" t="s">
        <v>611</v>
      </c>
      <c r="B298" s="46" t="s">
        <v>612</v>
      </c>
      <c r="C298" s="47">
        <v>1.0</v>
      </c>
      <c r="D298" s="48">
        <f t="shared" si="1"/>
        <v>0</v>
      </c>
      <c r="E298" s="49">
        <v>0.0</v>
      </c>
      <c r="F298" s="48">
        <f t="shared" si="63"/>
        <v>0</v>
      </c>
      <c r="G298" s="48">
        <f t="shared" si="62"/>
        <v>0</v>
      </c>
      <c r="H298" s="48">
        <f t="shared" si="2"/>
        <v>0</v>
      </c>
      <c r="I298" s="18">
        <f t="shared" si="39"/>
        <v>1</v>
      </c>
    </row>
    <row r="299" ht="15.75" customHeight="1">
      <c r="A299" s="45" t="s">
        <v>613</v>
      </c>
      <c r="B299" s="46" t="s">
        <v>614</v>
      </c>
      <c r="C299" s="47">
        <v>1.0</v>
      </c>
      <c r="D299" s="48">
        <f t="shared" si="1"/>
        <v>0</v>
      </c>
      <c r="E299" s="49">
        <v>0.0</v>
      </c>
      <c r="F299" s="48">
        <f t="shared" si="63"/>
        <v>0</v>
      </c>
      <c r="G299" s="48">
        <f t="shared" si="62"/>
        <v>0</v>
      </c>
      <c r="H299" s="48">
        <f t="shared" si="2"/>
        <v>0</v>
      </c>
      <c r="I299" s="18">
        <f t="shared" si="39"/>
        <v>1</v>
      </c>
    </row>
    <row r="300" ht="15.75" customHeight="1">
      <c r="A300" s="45" t="s">
        <v>615</v>
      </c>
      <c r="B300" s="46" t="s">
        <v>616</v>
      </c>
      <c r="C300" s="47">
        <v>1.0</v>
      </c>
      <c r="D300" s="48">
        <f t="shared" si="1"/>
        <v>0</v>
      </c>
      <c r="E300" s="49">
        <v>0.0</v>
      </c>
      <c r="F300" s="48">
        <f t="shared" si="63"/>
        <v>0</v>
      </c>
      <c r="G300" s="48">
        <f t="shared" si="62"/>
        <v>0</v>
      </c>
      <c r="H300" s="48">
        <f t="shared" si="2"/>
        <v>0</v>
      </c>
      <c r="I300" s="18">
        <f t="shared" si="39"/>
        <v>1</v>
      </c>
    </row>
    <row r="301" ht="15.75" customHeight="1">
      <c r="A301" s="45" t="s">
        <v>617</v>
      </c>
      <c r="B301" s="46" t="s">
        <v>618</v>
      </c>
      <c r="C301" s="47">
        <v>1.0</v>
      </c>
      <c r="D301" s="48">
        <f t="shared" si="1"/>
        <v>0</v>
      </c>
      <c r="E301" s="49">
        <v>0.0</v>
      </c>
      <c r="F301" s="48">
        <f t="shared" si="63"/>
        <v>0</v>
      </c>
      <c r="G301" s="48">
        <f t="shared" si="62"/>
        <v>0</v>
      </c>
      <c r="H301" s="48">
        <f t="shared" si="2"/>
        <v>0</v>
      </c>
      <c r="I301" s="18">
        <f t="shared" si="39"/>
        <v>1</v>
      </c>
    </row>
    <row r="302" ht="15.75" customHeight="1">
      <c r="A302" s="45" t="s">
        <v>619</v>
      </c>
      <c r="B302" s="46" t="s">
        <v>620</v>
      </c>
      <c r="C302" s="47">
        <v>1.0</v>
      </c>
      <c r="D302" s="48">
        <f t="shared" si="1"/>
        <v>0</v>
      </c>
      <c r="E302" s="49">
        <v>0.0</v>
      </c>
      <c r="F302" s="48">
        <f t="shared" si="63"/>
        <v>0</v>
      </c>
      <c r="G302" s="48">
        <f t="shared" si="62"/>
        <v>0</v>
      </c>
      <c r="H302" s="48">
        <f t="shared" si="2"/>
        <v>0</v>
      </c>
      <c r="I302" s="18">
        <f t="shared" si="39"/>
        <v>1</v>
      </c>
    </row>
    <row r="303" ht="15.75" customHeight="1">
      <c r="A303" s="45" t="s">
        <v>621</v>
      </c>
      <c r="B303" s="46" t="s">
        <v>622</v>
      </c>
      <c r="C303" s="47">
        <v>1.0</v>
      </c>
      <c r="D303" s="48">
        <f t="shared" si="1"/>
        <v>0</v>
      </c>
      <c r="E303" s="49">
        <v>0.0</v>
      </c>
      <c r="F303" s="48">
        <f t="shared" si="63"/>
        <v>0</v>
      </c>
      <c r="G303" s="48">
        <f t="shared" si="62"/>
        <v>0</v>
      </c>
      <c r="H303" s="48">
        <f t="shared" si="2"/>
        <v>0</v>
      </c>
      <c r="I303" s="18">
        <f t="shared" si="39"/>
        <v>1</v>
      </c>
    </row>
    <row r="304" ht="15.75" customHeight="1">
      <c r="A304" s="45" t="s">
        <v>623</v>
      </c>
      <c r="B304" s="46" t="s">
        <v>624</v>
      </c>
      <c r="C304" s="47">
        <v>1.0</v>
      </c>
      <c r="D304" s="48">
        <f t="shared" si="1"/>
        <v>0</v>
      </c>
      <c r="E304" s="49">
        <v>0.0</v>
      </c>
      <c r="F304" s="48">
        <f t="shared" si="63"/>
        <v>0</v>
      </c>
      <c r="G304" s="48">
        <f t="shared" si="62"/>
        <v>0</v>
      </c>
      <c r="H304" s="48">
        <f t="shared" si="2"/>
        <v>0</v>
      </c>
      <c r="I304" s="18">
        <f t="shared" si="39"/>
        <v>1</v>
      </c>
    </row>
    <row r="305" ht="15.75" customHeight="1">
      <c r="A305" s="45" t="s">
        <v>625</v>
      </c>
      <c r="B305" s="46" t="s">
        <v>626</v>
      </c>
      <c r="C305" s="47">
        <v>1.0</v>
      </c>
      <c r="D305" s="48">
        <f t="shared" si="1"/>
        <v>0</v>
      </c>
      <c r="E305" s="49">
        <v>0.0</v>
      </c>
      <c r="F305" s="48">
        <f t="shared" si="63"/>
        <v>0</v>
      </c>
      <c r="G305" s="48">
        <f t="shared" si="62"/>
        <v>0</v>
      </c>
      <c r="H305" s="48">
        <f t="shared" si="2"/>
        <v>0</v>
      </c>
      <c r="I305" s="18">
        <f t="shared" si="39"/>
        <v>1</v>
      </c>
    </row>
    <row r="306" ht="15.75" customHeight="1">
      <c r="A306" s="45" t="s">
        <v>627</v>
      </c>
      <c r="B306" s="46" t="s">
        <v>628</v>
      </c>
      <c r="C306" s="47">
        <v>1.0</v>
      </c>
      <c r="D306" s="48">
        <f t="shared" si="1"/>
        <v>0</v>
      </c>
      <c r="E306" s="49">
        <v>0.0</v>
      </c>
      <c r="F306" s="48">
        <f t="shared" si="63"/>
        <v>0</v>
      </c>
      <c r="G306" s="48">
        <f t="shared" si="62"/>
        <v>0</v>
      </c>
      <c r="H306" s="48">
        <f t="shared" si="2"/>
        <v>0</v>
      </c>
      <c r="I306" s="18">
        <f t="shared" si="39"/>
        <v>1</v>
      </c>
    </row>
    <row r="307" ht="15.75" customHeight="1">
      <c r="A307" s="45" t="s">
        <v>629</v>
      </c>
      <c r="B307" s="46" t="s">
        <v>630</v>
      </c>
      <c r="C307" s="47">
        <v>1.0</v>
      </c>
      <c r="D307" s="48">
        <f t="shared" si="1"/>
        <v>0</v>
      </c>
      <c r="E307" s="49">
        <v>0.0</v>
      </c>
      <c r="F307" s="48">
        <f t="shared" si="63"/>
        <v>0</v>
      </c>
      <c r="G307" s="48">
        <f t="shared" si="62"/>
        <v>0</v>
      </c>
      <c r="H307" s="48">
        <f t="shared" si="2"/>
        <v>0</v>
      </c>
      <c r="I307" s="18">
        <f t="shared" si="39"/>
        <v>1</v>
      </c>
    </row>
    <row r="308" ht="15.75" customHeight="1">
      <c r="A308" s="45" t="s">
        <v>631</v>
      </c>
      <c r="B308" s="46" t="s">
        <v>632</v>
      </c>
      <c r="C308" s="47">
        <v>1.0</v>
      </c>
      <c r="D308" s="48">
        <f t="shared" si="1"/>
        <v>0</v>
      </c>
      <c r="E308" s="49">
        <v>0.0</v>
      </c>
      <c r="F308" s="48">
        <f t="shared" si="63"/>
        <v>0</v>
      </c>
      <c r="G308" s="48">
        <f t="shared" si="62"/>
        <v>0</v>
      </c>
      <c r="H308" s="48">
        <f t="shared" si="2"/>
        <v>0</v>
      </c>
      <c r="I308" s="18">
        <f t="shared" si="39"/>
        <v>1</v>
      </c>
    </row>
    <row r="309" ht="15.75" customHeight="1">
      <c r="A309" s="45" t="s">
        <v>633</v>
      </c>
      <c r="B309" s="46" t="s">
        <v>634</v>
      </c>
      <c r="C309" s="47">
        <v>1.0</v>
      </c>
      <c r="D309" s="48">
        <f t="shared" si="1"/>
        <v>0</v>
      </c>
      <c r="E309" s="49">
        <v>0.0</v>
      </c>
      <c r="F309" s="48">
        <f t="shared" si="63"/>
        <v>0</v>
      </c>
      <c r="G309" s="48">
        <f t="shared" si="62"/>
        <v>0</v>
      </c>
      <c r="H309" s="48">
        <f t="shared" si="2"/>
        <v>0</v>
      </c>
      <c r="I309" s="18">
        <f t="shared" si="39"/>
        <v>1</v>
      </c>
    </row>
    <row r="310" ht="15.75" customHeight="1">
      <c r="A310" s="45" t="s">
        <v>635</v>
      </c>
      <c r="B310" s="46" t="s">
        <v>636</v>
      </c>
      <c r="C310" s="47">
        <v>1.0</v>
      </c>
      <c r="D310" s="48">
        <f t="shared" si="1"/>
        <v>0</v>
      </c>
      <c r="E310" s="49">
        <v>0.0</v>
      </c>
      <c r="F310" s="48">
        <f t="shared" si="63"/>
        <v>0</v>
      </c>
      <c r="G310" s="48">
        <f t="shared" si="62"/>
        <v>0</v>
      </c>
      <c r="H310" s="48">
        <f t="shared" si="2"/>
        <v>0</v>
      </c>
      <c r="I310" s="18">
        <f t="shared" si="39"/>
        <v>1</v>
      </c>
    </row>
    <row r="311" ht="15.75" customHeight="1">
      <c r="A311" s="45" t="s">
        <v>637</v>
      </c>
      <c r="B311" s="46" t="s">
        <v>638</v>
      </c>
      <c r="C311" s="47">
        <v>1.0</v>
      </c>
      <c r="D311" s="48">
        <f t="shared" si="1"/>
        <v>0</v>
      </c>
      <c r="E311" s="49">
        <v>0.0</v>
      </c>
      <c r="F311" s="48">
        <f t="shared" si="63"/>
        <v>0</v>
      </c>
      <c r="G311" s="48">
        <f t="shared" si="62"/>
        <v>0</v>
      </c>
      <c r="H311" s="48">
        <f t="shared" si="2"/>
        <v>0</v>
      </c>
      <c r="I311" s="18">
        <f t="shared" si="39"/>
        <v>1</v>
      </c>
    </row>
    <row r="312" ht="15.75" customHeight="1">
      <c r="A312" s="45" t="s">
        <v>639</v>
      </c>
      <c r="B312" s="46" t="s">
        <v>640</v>
      </c>
      <c r="C312" s="47">
        <v>1.0</v>
      </c>
      <c r="D312" s="48">
        <f t="shared" si="1"/>
        <v>0</v>
      </c>
      <c r="E312" s="49">
        <v>0.0</v>
      </c>
      <c r="F312" s="48">
        <f t="shared" si="63"/>
        <v>0</v>
      </c>
      <c r="G312" s="48">
        <f t="shared" si="62"/>
        <v>0</v>
      </c>
      <c r="H312" s="48">
        <f t="shared" si="2"/>
        <v>0</v>
      </c>
      <c r="I312" s="18">
        <f t="shared" si="39"/>
        <v>1</v>
      </c>
    </row>
    <row r="313" ht="15.75" customHeight="1">
      <c r="A313" s="45" t="s">
        <v>641</v>
      </c>
      <c r="B313" s="46" t="s">
        <v>642</v>
      </c>
      <c r="C313" s="47">
        <v>1.0</v>
      </c>
      <c r="D313" s="48">
        <f t="shared" si="1"/>
        <v>0</v>
      </c>
      <c r="E313" s="49">
        <v>0.0</v>
      </c>
      <c r="F313" s="48">
        <f t="shared" si="63"/>
        <v>0</v>
      </c>
      <c r="G313" s="48">
        <f t="shared" si="62"/>
        <v>0</v>
      </c>
      <c r="H313" s="48">
        <f t="shared" si="2"/>
        <v>0</v>
      </c>
      <c r="I313" s="18">
        <f t="shared" si="39"/>
        <v>1</v>
      </c>
    </row>
    <row r="314" ht="15.75" customHeight="1">
      <c r="A314" s="45" t="s">
        <v>643</v>
      </c>
      <c r="B314" s="46" t="s">
        <v>644</v>
      </c>
      <c r="C314" s="47">
        <v>1.0</v>
      </c>
      <c r="D314" s="48">
        <f t="shared" si="1"/>
        <v>0</v>
      </c>
      <c r="E314" s="49">
        <v>0.0</v>
      </c>
      <c r="F314" s="48">
        <f t="shared" si="63"/>
        <v>0</v>
      </c>
      <c r="G314" s="48">
        <f t="shared" si="62"/>
        <v>0</v>
      </c>
      <c r="H314" s="48">
        <f t="shared" si="2"/>
        <v>0</v>
      </c>
      <c r="I314" s="18">
        <f t="shared" si="39"/>
        <v>1</v>
      </c>
    </row>
    <row r="315" ht="15.75" customHeight="1">
      <c r="A315" s="45" t="s">
        <v>645</v>
      </c>
      <c r="B315" s="46" t="s">
        <v>646</v>
      </c>
      <c r="C315" s="47">
        <v>1.0</v>
      </c>
      <c r="D315" s="48">
        <f t="shared" si="1"/>
        <v>0</v>
      </c>
      <c r="E315" s="49">
        <v>0.0</v>
      </c>
      <c r="F315" s="48">
        <f t="shared" si="63"/>
        <v>0</v>
      </c>
      <c r="G315" s="48">
        <f t="shared" si="62"/>
        <v>0</v>
      </c>
      <c r="H315" s="48">
        <f t="shared" si="2"/>
        <v>0</v>
      </c>
      <c r="I315" s="18">
        <f t="shared" si="39"/>
        <v>1</v>
      </c>
    </row>
    <row r="316" ht="15.75" customHeight="1">
      <c r="A316" s="45" t="s">
        <v>647</v>
      </c>
      <c r="B316" s="46" t="s">
        <v>648</v>
      </c>
      <c r="C316" s="47">
        <v>1.0</v>
      </c>
      <c r="D316" s="48">
        <f t="shared" si="1"/>
        <v>0</v>
      </c>
      <c r="E316" s="49">
        <v>0.0</v>
      </c>
      <c r="F316" s="48">
        <f t="shared" si="63"/>
        <v>0</v>
      </c>
      <c r="G316" s="48">
        <f t="shared" si="62"/>
        <v>0</v>
      </c>
      <c r="H316" s="48">
        <f t="shared" si="2"/>
        <v>0</v>
      </c>
      <c r="I316" s="18">
        <f t="shared" si="39"/>
        <v>1</v>
      </c>
    </row>
    <row r="317" ht="15.75" customHeight="1">
      <c r="A317" s="45" t="s">
        <v>649</v>
      </c>
      <c r="B317" s="46" t="s">
        <v>650</v>
      </c>
      <c r="C317" s="47">
        <v>1.0</v>
      </c>
      <c r="D317" s="48">
        <f t="shared" si="1"/>
        <v>0</v>
      </c>
      <c r="E317" s="49">
        <v>0.0</v>
      </c>
      <c r="F317" s="48">
        <f t="shared" si="63"/>
        <v>0</v>
      </c>
      <c r="G317" s="48">
        <f t="shared" si="62"/>
        <v>0</v>
      </c>
      <c r="H317" s="48">
        <f t="shared" si="2"/>
        <v>0</v>
      </c>
      <c r="I317" s="18">
        <f t="shared" si="39"/>
        <v>1</v>
      </c>
    </row>
    <row r="318" ht="15.75" customHeight="1">
      <c r="A318" s="45" t="s">
        <v>651</v>
      </c>
      <c r="B318" s="46" t="s">
        <v>652</v>
      </c>
      <c r="C318" s="47">
        <v>1.0</v>
      </c>
      <c r="D318" s="48">
        <f t="shared" si="1"/>
        <v>0</v>
      </c>
      <c r="E318" s="49">
        <v>0.0</v>
      </c>
      <c r="F318" s="48">
        <f t="shared" si="63"/>
        <v>0</v>
      </c>
      <c r="G318" s="48">
        <f t="shared" si="62"/>
        <v>0</v>
      </c>
      <c r="H318" s="48">
        <f t="shared" si="2"/>
        <v>0</v>
      </c>
      <c r="I318" s="18">
        <f t="shared" si="39"/>
        <v>1</v>
      </c>
    </row>
    <row r="319" ht="15.75" customHeight="1">
      <c r="A319" s="45" t="s">
        <v>653</v>
      </c>
      <c r="B319" s="46" t="s">
        <v>654</v>
      </c>
      <c r="C319" s="47">
        <v>1.0</v>
      </c>
      <c r="D319" s="48">
        <f t="shared" si="1"/>
        <v>0</v>
      </c>
      <c r="E319" s="49">
        <v>0.0</v>
      </c>
      <c r="F319" s="48">
        <f t="shared" si="63"/>
        <v>0</v>
      </c>
      <c r="G319" s="48">
        <f t="shared" si="62"/>
        <v>0</v>
      </c>
      <c r="H319" s="48">
        <f t="shared" si="2"/>
        <v>0</v>
      </c>
      <c r="I319" s="18">
        <f t="shared" si="39"/>
        <v>1</v>
      </c>
    </row>
    <row r="320" ht="15.75" customHeight="1">
      <c r="A320" s="45" t="s">
        <v>655</v>
      </c>
      <c r="B320" s="46" t="s">
        <v>656</v>
      </c>
      <c r="C320" s="47">
        <v>1.0</v>
      </c>
      <c r="D320" s="48">
        <f t="shared" si="1"/>
        <v>0</v>
      </c>
      <c r="E320" s="49">
        <v>0.0</v>
      </c>
      <c r="F320" s="48">
        <f t="shared" si="63"/>
        <v>0</v>
      </c>
      <c r="G320" s="48">
        <f t="shared" si="62"/>
        <v>0</v>
      </c>
      <c r="H320" s="48">
        <f t="shared" si="2"/>
        <v>0</v>
      </c>
      <c r="I320" s="18">
        <f t="shared" si="39"/>
        <v>1</v>
      </c>
    </row>
    <row r="321" ht="15.75" customHeight="1">
      <c r="A321" s="45" t="s">
        <v>657</v>
      </c>
      <c r="B321" s="46" t="s">
        <v>658</v>
      </c>
      <c r="C321" s="47">
        <v>1.0</v>
      </c>
      <c r="D321" s="48">
        <f t="shared" si="1"/>
        <v>0</v>
      </c>
      <c r="E321" s="49">
        <v>0.0</v>
      </c>
      <c r="F321" s="48">
        <f t="shared" si="63"/>
        <v>0</v>
      </c>
      <c r="G321" s="48">
        <f t="shared" si="62"/>
        <v>0</v>
      </c>
      <c r="H321" s="48">
        <f t="shared" si="2"/>
        <v>0</v>
      </c>
      <c r="I321" s="18">
        <f t="shared" si="39"/>
        <v>1</v>
      </c>
    </row>
    <row r="322" ht="15.75" customHeight="1">
      <c r="A322" s="45" t="s">
        <v>659</v>
      </c>
      <c r="B322" s="46" t="s">
        <v>660</v>
      </c>
      <c r="C322" s="47">
        <v>1.0</v>
      </c>
      <c r="D322" s="48">
        <f t="shared" si="1"/>
        <v>0</v>
      </c>
      <c r="E322" s="49">
        <v>0.0</v>
      </c>
      <c r="F322" s="48">
        <f t="shared" si="63"/>
        <v>0</v>
      </c>
      <c r="G322" s="48">
        <f t="shared" si="62"/>
        <v>0</v>
      </c>
      <c r="H322" s="48">
        <f t="shared" si="2"/>
        <v>0</v>
      </c>
      <c r="I322" s="18">
        <f t="shared" si="39"/>
        <v>1</v>
      </c>
    </row>
    <row r="323" ht="15.75" customHeight="1">
      <c r="A323" s="45" t="s">
        <v>661</v>
      </c>
      <c r="B323" s="46" t="s">
        <v>662</v>
      </c>
      <c r="C323" s="47">
        <v>1.0</v>
      </c>
      <c r="D323" s="48">
        <f t="shared" si="1"/>
        <v>0</v>
      </c>
      <c r="E323" s="49">
        <v>0.0</v>
      </c>
      <c r="F323" s="48">
        <f t="shared" si="63"/>
        <v>0</v>
      </c>
      <c r="G323" s="48">
        <f t="shared" si="62"/>
        <v>0</v>
      </c>
      <c r="H323" s="48">
        <f t="shared" si="2"/>
        <v>0</v>
      </c>
      <c r="I323" s="18">
        <f t="shared" si="39"/>
        <v>1</v>
      </c>
    </row>
    <row r="324" ht="15.75" customHeight="1">
      <c r="A324" s="45" t="s">
        <v>663</v>
      </c>
      <c r="B324" s="46" t="s">
        <v>664</v>
      </c>
      <c r="C324" s="47">
        <v>1.0</v>
      </c>
      <c r="D324" s="48">
        <f t="shared" si="1"/>
        <v>0</v>
      </c>
      <c r="E324" s="49">
        <v>0.0</v>
      </c>
      <c r="F324" s="48">
        <f t="shared" si="63"/>
        <v>0</v>
      </c>
      <c r="G324" s="48">
        <f t="shared" si="62"/>
        <v>0</v>
      </c>
      <c r="H324" s="48">
        <f t="shared" si="2"/>
        <v>0</v>
      </c>
      <c r="I324" s="18">
        <f t="shared" si="39"/>
        <v>1</v>
      </c>
    </row>
    <row r="325" ht="15.75" customHeight="1">
      <c r="A325" s="45" t="s">
        <v>665</v>
      </c>
      <c r="B325" s="46" t="s">
        <v>666</v>
      </c>
      <c r="C325" s="47">
        <v>1.0</v>
      </c>
      <c r="D325" s="48">
        <f t="shared" si="1"/>
        <v>0</v>
      </c>
      <c r="E325" s="49">
        <v>0.0</v>
      </c>
      <c r="F325" s="48">
        <f t="shared" si="63"/>
        <v>0</v>
      </c>
      <c r="G325" s="48">
        <f t="shared" si="62"/>
        <v>0</v>
      </c>
      <c r="H325" s="48">
        <f t="shared" si="2"/>
        <v>0</v>
      </c>
      <c r="I325" s="18">
        <f t="shared" si="39"/>
        <v>1</v>
      </c>
    </row>
    <row r="326" ht="15.75" customHeight="1">
      <c r="A326" s="45" t="s">
        <v>667</v>
      </c>
      <c r="B326" s="46" t="s">
        <v>668</v>
      </c>
      <c r="C326" s="47">
        <v>1.0</v>
      </c>
      <c r="D326" s="48">
        <f t="shared" si="1"/>
        <v>0</v>
      </c>
      <c r="E326" s="49">
        <v>0.0</v>
      </c>
      <c r="F326" s="48">
        <f t="shared" si="63"/>
        <v>0</v>
      </c>
      <c r="G326" s="48">
        <f t="shared" si="62"/>
        <v>0</v>
      </c>
      <c r="H326" s="48">
        <f t="shared" si="2"/>
        <v>0</v>
      </c>
      <c r="I326" s="18">
        <f t="shared" si="39"/>
        <v>1</v>
      </c>
    </row>
    <row r="327" ht="15.75" customHeight="1">
      <c r="A327" s="45" t="s">
        <v>669</v>
      </c>
      <c r="B327" s="46" t="s">
        <v>670</v>
      </c>
      <c r="C327" s="47">
        <v>1.0</v>
      </c>
      <c r="D327" s="48">
        <f t="shared" si="1"/>
        <v>0</v>
      </c>
      <c r="E327" s="49">
        <v>0.0</v>
      </c>
      <c r="F327" s="48">
        <f t="shared" si="63"/>
        <v>0</v>
      </c>
      <c r="G327" s="48">
        <f t="shared" si="62"/>
        <v>0</v>
      </c>
      <c r="H327" s="48">
        <f t="shared" si="2"/>
        <v>0</v>
      </c>
      <c r="I327" s="18">
        <f t="shared" si="39"/>
        <v>1</v>
      </c>
    </row>
    <row r="328" ht="15.75" customHeight="1">
      <c r="A328" s="45" t="s">
        <v>671</v>
      </c>
      <c r="B328" s="46" t="s">
        <v>672</v>
      </c>
      <c r="C328" s="47">
        <v>1.0</v>
      </c>
      <c r="D328" s="48">
        <f t="shared" si="1"/>
        <v>0</v>
      </c>
      <c r="E328" s="49">
        <v>0.0</v>
      </c>
      <c r="F328" s="48">
        <f t="shared" si="63"/>
        <v>0</v>
      </c>
      <c r="G328" s="48">
        <f t="shared" si="62"/>
        <v>0</v>
      </c>
      <c r="H328" s="48">
        <f t="shared" si="2"/>
        <v>0</v>
      </c>
      <c r="I328" s="18">
        <f t="shared" si="39"/>
        <v>1</v>
      </c>
    </row>
    <row r="329" ht="15.75" customHeight="1">
      <c r="A329" s="45" t="s">
        <v>673</v>
      </c>
      <c r="B329" s="46" t="s">
        <v>674</v>
      </c>
      <c r="C329" s="47">
        <v>1.0</v>
      </c>
      <c r="D329" s="48">
        <f t="shared" si="1"/>
        <v>0</v>
      </c>
      <c r="E329" s="49">
        <v>0.0</v>
      </c>
      <c r="F329" s="48">
        <f t="shared" si="63"/>
        <v>0</v>
      </c>
      <c r="G329" s="48">
        <f t="shared" si="62"/>
        <v>0</v>
      </c>
      <c r="H329" s="48">
        <f t="shared" si="2"/>
        <v>0</v>
      </c>
      <c r="I329" s="18">
        <f t="shared" si="39"/>
        <v>1</v>
      </c>
    </row>
    <row r="330" ht="15.75" customHeight="1">
      <c r="A330" s="45" t="s">
        <v>675</v>
      </c>
      <c r="B330" s="46" t="s">
        <v>676</v>
      </c>
      <c r="C330" s="47">
        <v>1.0</v>
      </c>
      <c r="D330" s="48">
        <f t="shared" si="1"/>
        <v>0</v>
      </c>
      <c r="E330" s="49">
        <v>0.0</v>
      </c>
      <c r="F330" s="48">
        <f t="shared" si="63"/>
        <v>0</v>
      </c>
      <c r="G330" s="48">
        <f t="shared" si="62"/>
        <v>0</v>
      </c>
      <c r="H330" s="48">
        <f t="shared" si="2"/>
        <v>0</v>
      </c>
      <c r="I330" s="18">
        <f t="shared" si="39"/>
        <v>1</v>
      </c>
    </row>
    <row r="331" ht="15.75" customHeight="1">
      <c r="A331" s="45" t="s">
        <v>677</v>
      </c>
      <c r="B331" s="46" t="s">
        <v>678</v>
      </c>
      <c r="C331" s="47">
        <v>1.0</v>
      </c>
      <c r="D331" s="48">
        <f t="shared" si="1"/>
        <v>0</v>
      </c>
      <c r="E331" s="49">
        <v>0.0</v>
      </c>
      <c r="F331" s="48">
        <f t="shared" si="63"/>
        <v>0</v>
      </c>
      <c r="G331" s="48">
        <f t="shared" si="62"/>
        <v>0</v>
      </c>
      <c r="H331" s="48">
        <f t="shared" si="2"/>
        <v>0</v>
      </c>
      <c r="I331" s="18">
        <f t="shared" si="39"/>
        <v>1</v>
      </c>
    </row>
    <row r="332" ht="15.75" customHeight="1">
      <c r="A332" s="45" t="s">
        <v>679</v>
      </c>
      <c r="B332" s="46" t="s">
        <v>680</v>
      </c>
      <c r="C332" s="47">
        <v>1.0</v>
      </c>
      <c r="D332" s="48">
        <f t="shared" si="1"/>
        <v>0</v>
      </c>
      <c r="E332" s="49">
        <v>0.0</v>
      </c>
      <c r="F332" s="48">
        <f t="shared" si="63"/>
        <v>0</v>
      </c>
      <c r="G332" s="48">
        <f t="shared" si="62"/>
        <v>0</v>
      </c>
      <c r="H332" s="48">
        <f t="shared" si="2"/>
        <v>0</v>
      </c>
      <c r="I332" s="18">
        <f t="shared" si="39"/>
        <v>1</v>
      </c>
    </row>
    <row r="333" ht="15.75" customHeight="1">
      <c r="A333" s="45" t="s">
        <v>681</v>
      </c>
      <c r="B333" s="46" t="s">
        <v>682</v>
      </c>
      <c r="C333" s="47">
        <v>1.0</v>
      </c>
      <c r="D333" s="48">
        <f t="shared" si="1"/>
        <v>0</v>
      </c>
      <c r="E333" s="49">
        <v>0.0</v>
      </c>
      <c r="F333" s="48">
        <f t="shared" si="63"/>
        <v>0</v>
      </c>
      <c r="G333" s="48">
        <f t="shared" si="62"/>
        <v>0</v>
      </c>
      <c r="H333" s="48">
        <f t="shared" si="2"/>
        <v>0</v>
      </c>
      <c r="I333" s="18">
        <f t="shared" si="39"/>
        <v>1</v>
      </c>
    </row>
    <row r="334" ht="15.75" customHeight="1">
      <c r="A334" s="45" t="s">
        <v>683</v>
      </c>
      <c r="B334" s="46" t="s">
        <v>684</v>
      </c>
      <c r="C334" s="47">
        <v>1.0</v>
      </c>
      <c r="D334" s="48">
        <f t="shared" si="1"/>
        <v>0</v>
      </c>
      <c r="E334" s="49">
        <v>0.0</v>
      </c>
      <c r="F334" s="48">
        <f t="shared" si="63"/>
        <v>0</v>
      </c>
      <c r="G334" s="48">
        <f t="shared" si="62"/>
        <v>0</v>
      </c>
      <c r="H334" s="48">
        <f t="shared" si="2"/>
        <v>0</v>
      </c>
      <c r="I334" s="18">
        <f t="shared" si="39"/>
        <v>1</v>
      </c>
    </row>
    <row r="335" ht="15.75" customHeight="1">
      <c r="A335" s="45" t="s">
        <v>685</v>
      </c>
      <c r="B335" s="46" t="s">
        <v>686</v>
      </c>
      <c r="C335" s="47">
        <v>1.0</v>
      </c>
      <c r="D335" s="48">
        <f t="shared" si="1"/>
        <v>0</v>
      </c>
      <c r="E335" s="49">
        <v>0.0</v>
      </c>
      <c r="F335" s="48">
        <f t="shared" si="63"/>
        <v>0</v>
      </c>
      <c r="G335" s="48">
        <f t="shared" si="62"/>
        <v>0</v>
      </c>
      <c r="H335" s="48">
        <f t="shared" si="2"/>
        <v>0</v>
      </c>
      <c r="I335" s="18">
        <f t="shared" si="39"/>
        <v>1</v>
      </c>
    </row>
    <row r="336" ht="15.75" customHeight="1">
      <c r="A336" s="45" t="s">
        <v>687</v>
      </c>
      <c r="B336" s="46" t="s">
        <v>688</v>
      </c>
      <c r="C336" s="47">
        <v>1.0</v>
      </c>
      <c r="D336" s="48">
        <f t="shared" si="1"/>
        <v>0</v>
      </c>
      <c r="E336" s="49">
        <v>0.0</v>
      </c>
      <c r="F336" s="48">
        <f t="shared" si="63"/>
        <v>0</v>
      </c>
      <c r="G336" s="48">
        <f t="shared" si="62"/>
        <v>0</v>
      </c>
      <c r="H336" s="48">
        <f t="shared" si="2"/>
        <v>0</v>
      </c>
      <c r="I336" s="18">
        <f t="shared" si="39"/>
        <v>1</v>
      </c>
    </row>
    <row r="337" ht="15.75" customHeight="1">
      <c r="A337" s="45" t="s">
        <v>689</v>
      </c>
      <c r="B337" s="46" t="s">
        <v>690</v>
      </c>
      <c r="C337" s="47">
        <v>1.0</v>
      </c>
      <c r="D337" s="48">
        <f t="shared" si="1"/>
        <v>0</v>
      </c>
      <c r="E337" s="49">
        <v>0.0</v>
      </c>
      <c r="F337" s="48">
        <f t="shared" si="63"/>
        <v>0</v>
      </c>
      <c r="G337" s="48">
        <f t="shared" si="62"/>
        <v>0</v>
      </c>
      <c r="H337" s="48">
        <f t="shared" si="2"/>
        <v>0</v>
      </c>
      <c r="I337" s="18">
        <f t="shared" si="39"/>
        <v>1</v>
      </c>
    </row>
    <row r="338" ht="15.75" customHeight="1">
      <c r="A338" s="45" t="s">
        <v>691</v>
      </c>
      <c r="B338" s="46" t="s">
        <v>692</v>
      </c>
      <c r="C338" s="47">
        <v>1.0</v>
      </c>
      <c r="D338" s="48">
        <f t="shared" si="1"/>
        <v>0</v>
      </c>
      <c r="E338" s="49">
        <v>0.0</v>
      </c>
      <c r="F338" s="48">
        <f t="shared" si="63"/>
        <v>0</v>
      </c>
      <c r="G338" s="48">
        <f t="shared" si="62"/>
        <v>0</v>
      </c>
      <c r="H338" s="48">
        <f t="shared" si="2"/>
        <v>0</v>
      </c>
      <c r="I338" s="18">
        <f t="shared" si="39"/>
        <v>1</v>
      </c>
    </row>
    <row r="339" ht="15.75" customHeight="1">
      <c r="A339" s="45" t="s">
        <v>693</v>
      </c>
      <c r="B339" s="46" t="s">
        <v>694</v>
      </c>
      <c r="C339" s="47">
        <v>1.0</v>
      </c>
      <c r="D339" s="48">
        <f t="shared" si="1"/>
        <v>0</v>
      </c>
      <c r="E339" s="49">
        <v>0.0</v>
      </c>
      <c r="F339" s="48">
        <f t="shared" si="63"/>
        <v>0</v>
      </c>
      <c r="G339" s="48">
        <f t="shared" si="62"/>
        <v>0</v>
      </c>
      <c r="H339" s="48">
        <f t="shared" si="2"/>
        <v>0</v>
      </c>
      <c r="I339" s="18">
        <f t="shared" si="39"/>
        <v>1</v>
      </c>
    </row>
    <row r="340" ht="15.75" customHeight="1">
      <c r="A340" s="45" t="s">
        <v>695</v>
      </c>
      <c r="B340" s="46" t="s">
        <v>696</v>
      </c>
      <c r="C340" s="47">
        <v>1.0</v>
      </c>
      <c r="D340" s="48">
        <f t="shared" si="1"/>
        <v>0</v>
      </c>
      <c r="E340" s="49">
        <v>0.0</v>
      </c>
      <c r="F340" s="48">
        <f t="shared" si="63"/>
        <v>0</v>
      </c>
      <c r="G340" s="48">
        <f t="shared" si="62"/>
        <v>0</v>
      </c>
      <c r="H340" s="48">
        <f t="shared" si="2"/>
        <v>0</v>
      </c>
      <c r="I340" s="18">
        <f t="shared" si="39"/>
        <v>1</v>
      </c>
    </row>
    <row r="341" ht="15.75" customHeight="1">
      <c r="A341" s="45" t="s">
        <v>697</v>
      </c>
      <c r="B341" s="46" t="s">
        <v>698</v>
      </c>
      <c r="C341" s="47">
        <v>1.0</v>
      </c>
      <c r="D341" s="48">
        <f t="shared" si="1"/>
        <v>0</v>
      </c>
      <c r="E341" s="49">
        <v>0.0</v>
      </c>
      <c r="F341" s="48">
        <f t="shared" si="63"/>
        <v>0</v>
      </c>
      <c r="G341" s="48">
        <f t="shared" si="62"/>
        <v>0</v>
      </c>
      <c r="H341" s="48">
        <f t="shared" si="2"/>
        <v>0</v>
      </c>
      <c r="I341" s="18">
        <f t="shared" si="39"/>
        <v>1</v>
      </c>
    </row>
    <row r="342" ht="15.75" customHeight="1">
      <c r="A342" s="45" t="s">
        <v>699</v>
      </c>
      <c r="B342" s="46" t="s">
        <v>700</v>
      </c>
      <c r="C342" s="47">
        <v>1.0</v>
      </c>
      <c r="D342" s="48">
        <f t="shared" si="1"/>
        <v>0</v>
      </c>
      <c r="E342" s="49">
        <v>0.0</v>
      </c>
      <c r="F342" s="48">
        <f t="shared" si="63"/>
        <v>0</v>
      </c>
      <c r="G342" s="48">
        <f t="shared" si="62"/>
        <v>0</v>
      </c>
      <c r="H342" s="48">
        <f t="shared" si="2"/>
        <v>0</v>
      </c>
      <c r="I342" s="18">
        <f t="shared" si="39"/>
        <v>1</v>
      </c>
    </row>
    <row r="343" ht="15.75" customHeight="1">
      <c r="A343" s="45" t="s">
        <v>701</v>
      </c>
      <c r="B343" s="46" t="s">
        <v>702</v>
      </c>
      <c r="C343" s="47">
        <v>1.0</v>
      </c>
      <c r="D343" s="48">
        <f t="shared" si="1"/>
        <v>0</v>
      </c>
      <c r="E343" s="49">
        <v>0.0</v>
      </c>
      <c r="F343" s="48">
        <f t="shared" si="63"/>
        <v>0</v>
      </c>
      <c r="G343" s="48">
        <f t="shared" si="62"/>
        <v>0</v>
      </c>
      <c r="H343" s="48">
        <f t="shared" si="2"/>
        <v>0</v>
      </c>
      <c r="I343" s="18">
        <f t="shared" si="39"/>
        <v>1</v>
      </c>
    </row>
    <row r="344" ht="15.75" customHeight="1">
      <c r="A344" s="45" t="s">
        <v>703</v>
      </c>
      <c r="B344" s="46" t="s">
        <v>704</v>
      </c>
      <c r="C344" s="47">
        <v>1.0</v>
      </c>
      <c r="D344" s="48">
        <f t="shared" si="1"/>
        <v>0</v>
      </c>
      <c r="E344" s="49">
        <v>0.0</v>
      </c>
      <c r="F344" s="48">
        <f t="shared" si="63"/>
        <v>0</v>
      </c>
      <c r="G344" s="48">
        <f t="shared" si="62"/>
        <v>0</v>
      </c>
      <c r="H344" s="48">
        <f t="shared" si="2"/>
        <v>0</v>
      </c>
      <c r="I344" s="18">
        <f t="shared" si="39"/>
        <v>1</v>
      </c>
    </row>
    <row r="345" ht="15.75" customHeight="1">
      <c r="A345" s="45" t="s">
        <v>705</v>
      </c>
      <c r="B345" s="46" t="s">
        <v>706</v>
      </c>
      <c r="C345" s="47">
        <v>1.0</v>
      </c>
      <c r="D345" s="48">
        <f t="shared" si="1"/>
        <v>0</v>
      </c>
      <c r="E345" s="49">
        <v>0.0</v>
      </c>
      <c r="F345" s="48">
        <f t="shared" si="63"/>
        <v>0</v>
      </c>
      <c r="G345" s="48">
        <f t="shared" si="62"/>
        <v>0</v>
      </c>
      <c r="H345" s="48">
        <f t="shared" si="2"/>
        <v>0</v>
      </c>
      <c r="I345" s="18">
        <f t="shared" si="39"/>
        <v>1</v>
      </c>
    </row>
    <row r="346" ht="15.75" customHeight="1">
      <c r="A346" s="45" t="s">
        <v>707</v>
      </c>
      <c r="B346" s="46" t="s">
        <v>708</v>
      </c>
      <c r="C346" s="47">
        <v>1.0</v>
      </c>
      <c r="D346" s="48">
        <f t="shared" si="1"/>
        <v>0</v>
      </c>
      <c r="E346" s="49">
        <v>0.0</v>
      </c>
      <c r="F346" s="48">
        <f t="shared" si="63"/>
        <v>0</v>
      </c>
      <c r="G346" s="48">
        <f t="shared" si="62"/>
        <v>0</v>
      </c>
      <c r="H346" s="48">
        <f t="shared" si="2"/>
        <v>0</v>
      </c>
      <c r="I346" s="18">
        <f t="shared" si="39"/>
        <v>1</v>
      </c>
    </row>
    <row r="347" ht="15.75" customHeight="1">
      <c r="A347" s="45" t="s">
        <v>709</v>
      </c>
      <c r="B347" s="46" t="s">
        <v>710</v>
      </c>
      <c r="C347" s="47">
        <v>1.0</v>
      </c>
      <c r="D347" s="48">
        <f t="shared" si="1"/>
        <v>0</v>
      </c>
      <c r="E347" s="49">
        <v>0.0</v>
      </c>
      <c r="F347" s="48">
        <f t="shared" si="63"/>
        <v>0</v>
      </c>
      <c r="G347" s="48">
        <f t="shared" si="62"/>
        <v>0</v>
      </c>
      <c r="H347" s="48">
        <f t="shared" si="2"/>
        <v>0</v>
      </c>
      <c r="I347" s="18">
        <f t="shared" si="39"/>
        <v>1</v>
      </c>
    </row>
    <row r="348" ht="15.75" customHeight="1">
      <c r="A348" s="45" t="s">
        <v>711</v>
      </c>
      <c r="B348" s="46" t="s">
        <v>712</v>
      </c>
      <c r="C348" s="47">
        <v>1.0</v>
      </c>
      <c r="D348" s="48">
        <f t="shared" si="1"/>
        <v>0</v>
      </c>
      <c r="E348" s="49">
        <v>0.0</v>
      </c>
      <c r="F348" s="48">
        <f t="shared" si="63"/>
        <v>0</v>
      </c>
      <c r="G348" s="48">
        <f t="shared" si="62"/>
        <v>0</v>
      </c>
      <c r="H348" s="48">
        <f t="shared" si="2"/>
        <v>0</v>
      </c>
      <c r="I348" s="18">
        <f t="shared" si="39"/>
        <v>1</v>
      </c>
    </row>
    <row r="349" ht="15.75" customHeight="1">
      <c r="A349" s="45" t="s">
        <v>713</v>
      </c>
      <c r="B349" s="46" t="s">
        <v>714</v>
      </c>
      <c r="C349" s="47">
        <v>1.0</v>
      </c>
      <c r="D349" s="48">
        <f t="shared" si="1"/>
        <v>0</v>
      </c>
      <c r="E349" s="49">
        <v>0.0</v>
      </c>
      <c r="F349" s="48">
        <f t="shared" si="63"/>
        <v>0</v>
      </c>
      <c r="G349" s="48">
        <f t="shared" si="62"/>
        <v>0</v>
      </c>
      <c r="H349" s="48">
        <f t="shared" si="2"/>
        <v>0</v>
      </c>
      <c r="I349" s="18">
        <f t="shared" si="39"/>
        <v>1</v>
      </c>
    </row>
    <row r="350" ht="15.75" customHeight="1">
      <c r="A350" s="45" t="s">
        <v>715</v>
      </c>
      <c r="B350" s="46" t="s">
        <v>716</v>
      </c>
      <c r="C350" s="47">
        <v>1.0</v>
      </c>
      <c r="D350" s="48">
        <f t="shared" si="1"/>
        <v>0</v>
      </c>
      <c r="E350" s="49">
        <v>0.0</v>
      </c>
      <c r="F350" s="48">
        <f t="shared" si="63"/>
        <v>0</v>
      </c>
      <c r="G350" s="48">
        <f t="shared" si="62"/>
        <v>0</v>
      </c>
      <c r="H350" s="48">
        <f t="shared" si="2"/>
        <v>0</v>
      </c>
      <c r="I350" s="18">
        <f t="shared" si="39"/>
        <v>1</v>
      </c>
    </row>
    <row r="351" ht="15.75" customHeight="1">
      <c r="A351" s="45" t="s">
        <v>717</v>
      </c>
      <c r="B351" s="46" t="s">
        <v>718</v>
      </c>
      <c r="C351" s="47">
        <v>1.0</v>
      </c>
      <c r="D351" s="48">
        <f t="shared" si="1"/>
        <v>0</v>
      </c>
      <c r="E351" s="49">
        <v>0.0</v>
      </c>
      <c r="F351" s="48">
        <f t="shared" si="63"/>
        <v>0</v>
      </c>
      <c r="G351" s="48">
        <f t="shared" si="62"/>
        <v>0</v>
      </c>
      <c r="H351" s="48">
        <f t="shared" si="2"/>
        <v>0</v>
      </c>
      <c r="I351" s="18">
        <f t="shared" si="39"/>
        <v>1</v>
      </c>
    </row>
    <row r="352" ht="15.75" customHeight="1">
      <c r="A352" s="45" t="s">
        <v>719</v>
      </c>
      <c r="B352" s="46" t="s">
        <v>720</v>
      </c>
      <c r="C352" s="47">
        <v>1.0</v>
      </c>
      <c r="D352" s="48">
        <f t="shared" si="1"/>
        <v>0</v>
      </c>
      <c r="E352" s="49">
        <v>0.0</v>
      </c>
      <c r="F352" s="48">
        <f t="shared" si="63"/>
        <v>0</v>
      </c>
      <c r="G352" s="48">
        <f t="shared" si="62"/>
        <v>0</v>
      </c>
      <c r="H352" s="48">
        <f t="shared" si="2"/>
        <v>0</v>
      </c>
      <c r="I352" s="18">
        <f t="shared" si="39"/>
        <v>1</v>
      </c>
    </row>
    <row r="353" ht="15.75" customHeight="1">
      <c r="A353" s="45" t="s">
        <v>721</v>
      </c>
      <c r="B353" s="46" t="s">
        <v>722</v>
      </c>
      <c r="C353" s="47">
        <v>1.0</v>
      </c>
      <c r="D353" s="48">
        <f t="shared" si="1"/>
        <v>0</v>
      </c>
      <c r="E353" s="49">
        <v>0.0</v>
      </c>
      <c r="F353" s="48">
        <f t="shared" si="63"/>
        <v>0</v>
      </c>
      <c r="G353" s="48">
        <f t="shared" si="62"/>
        <v>0</v>
      </c>
      <c r="H353" s="48">
        <f t="shared" si="2"/>
        <v>0</v>
      </c>
      <c r="I353" s="18">
        <f t="shared" si="39"/>
        <v>1</v>
      </c>
    </row>
    <row r="354" ht="15.75" customHeight="1">
      <c r="A354" s="45" t="s">
        <v>723</v>
      </c>
      <c r="B354" s="46" t="s">
        <v>724</v>
      </c>
      <c r="C354" s="47">
        <v>1.0</v>
      </c>
      <c r="D354" s="48">
        <f t="shared" si="1"/>
        <v>0</v>
      </c>
      <c r="E354" s="49">
        <v>0.0</v>
      </c>
      <c r="F354" s="48">
        <f t="shared" si="63"/>
        <v>0</v>
      </c>
      <c r="G354" s="48">
        <f t="shared" si="62"/>
        <v>0</v>
      </c>
      <c r="H354" s="48">
        <f t="shared" si="2"/>
        <v>0</v>
      </c>
      <c r="I354" s="18">
        <f t="shared" si="39"/>
        <v>1</v>
      </c>
    </row>
    <row r="355" ht="15.75" customHeight="1">
      <c r="A355" s="45" t="s">
        <v>725</v>
      </c>
      <c r="B355" s="46" t="s">
        <v>726</v>
      </c>
      <c r="C355" s="47">
        <v>1.0</v>
      </c>
      <c r="D355" s="48">
        <f t="shared" si="1"/>
        <v>0</v>
      </c>
      <c r="E355" s="49">
        <v>0.0</v>
      </c>
      <c r="F355" s="48">
        <f t="shared" si="63"/>
        <v>0</v>
      </c>
      <c r="G355" s="48">
        <f t="shared" si="62"/>
        <v>0</v>
      </c>
      <c r="H355" s="48">
        <f t="shared" si="2"/>
        <v>0</v>
      </c>
      <c r="I355" s="18">
        <f t="shared" si="39"/>
        <v>1</v>
      </c>
    </row>
    <row r="356" ht="15.75" customHeight="1">
      <c r="A356" s="45" t="s">
        <v>727</v>
      </c>
      <c r="B356" s="46" t="s">
        <v>728</v>
      </c>
      <c r="C356" s="47">
        <v>1.0</v>
      </c>
      <c r="D356" s="48">
        <f t="shared" si="1"/>
        <v>0</v>
      </c>
      <c r="E356" s="49">
        <v>0.0</v>
      </c>
      <c r="F356" s="48">
        <f t="shared" si="63"/>
        <v>0</v>
      </c>
      <c r="G356" s="48">
        <f t="shared" si="62"/>
        <v>0</v>
      </c>
      <c r="H356" s="48">
        <f t="shared" si="2"/>
        <v>0</v>
      </c>
      <c r="I356" s="18">
        <f t="shared" si="39"/>
        <v>1</v>
      </c>
    </row>
    <row r="357" ht="15.75" customHeight="1">
      <c r="A357" s="45" t="s">
        <v>729</v>
      </c>
      <c r="B357" s="46" t="s">
        <v>730</v>
      </c>
      <c r="C357" s="47">
        <v>1.0</v>
      </c>
      <c r="D357" s="48">
        <f t="shared" si="1"/>
        <v>0</v>
      </c>
      <c r="E357" s="49">
        <v>0.0</v>
      </c>
      <c r="F357" s="48">
        <f t="shared" si="63"/>
        <v>0</v>
      </c>
      <c r="G357" s="48">
        <f t="shared" si="62"/>
        <v>0</v>
      </c>
      <c r="H357" s="48">
        <f t="shared" si="2"/>
        <v>0</v>
      </c>
      <c r="I357" s="18">
        <f t="shared" si="39"/>
        <v>1</v>
      </c>
    </row>
    <row r="358" ht="15.75" customHeight="1">
      <c r="A358" s="45" t="s">
        <v>731</v>
      </c>
      <c r="B358" s="46" t="s">
        <v>732</v>
      </c>
      <c r="C358" s="47">
        <v>1.0</v>
      </c>
      <c r="D358" s="48">
        <f t="shared" si="1"/>
        <v>0</v>
      </c>
      <c r="E358" s="49">
        <v>0.0</v>
      </c>
      <c r="F358" s="48">
        <f t="shared" si="63"/>
        <v>0</v>
      </c>
      <c r="G358" s="48">
        <f t="shared" si="62"/>
        <v>0</v>
      </c>
      <c r="H358" s="48">
        <f t="shared" si="2"/>
        <v>0</v>
      </c>
      <c r="I358" s="18">
        <f t="shared" si="39"/>
        <v>1</v>
      </c>
    </row>
    <row r="359" ht="15.75" customHeight="1">
      <c r="A359" s="45" t="s">
        <v>733</v>
      </c>
      <c r="B359" s="46" t="s">
        <v>734</v>
      </c>
      <c r="C359" s="47">
        <v>1.0</v>
      </c>
      <c r="D359" s="48">
        <f t="shared" si="1"/>
        <v>0</v>
      </c>
      <c r="E359" s="49">
        <v>0.0</v>
      </c>
      <c r="F359" s="48">
        <f t="shared" si="63"/>
        <v>0</v>
      </c>
      <c r="G359" s="48">
        <f t="shared" si="62"/>
        <v>0</v>
      </c>
      <c r="H359" s="48">
        <f t="shared" si="2"/>
        <v>0</v>
      </c>
      <c r="I359" s="18">
        <f t="shared" si="39"/>
        <v>1</v>
      </c>
    </row>
    <row r="360" ht="15.75" customHeight="1">
      <c r="A360" s="45" t="s">
        <v>735</v>
      </c>
      <c r="B360" s="46" t="s">
        <v>736</v>
      </c>
      <c r="C360" s="47">
        <v>1.0</v>
      </c>
      <c r="D360" s="48">
        <f t="shared" si="1"/>
        <v>0</v>
      </c>
      <c r="E360" s="49">
        <v>0.0</v>
      </c>
      <c r="F360" s="48">
        <f t="shared" si="63"/>
        <v>0</v>
      </c>
      <c r="G360" s="48">
        <f t="shared" si="62"/>
        <v>0</v>
      </c>
      <c r="H360" s="48">
        <f t="shared" si="2"/>
        <v>0</v>
      </c>
      <c r="I360" s="18">
        <f t="shared" si="39"/>
        <v>1</v>
      </c>
    </row>
    <row r="361" ht="15.75" customHeight="1">
      <c r="A361" s="45" t="s">
        <v>737</v>
      </c>
      <c r="B361" s="46" t="s">
        <v>738</v>
      </c>
      <c r="C361" s="47">
        <v>1.0</v>
      </c>
      <c r="D361" s="48">
        <f t="shared" si="1"/>
        <v>0</v>
      </c>
      <c r="E361" s="49">
        <v>0.0</v>
      </c>
      <c r="F361" s="48">
        <f t="shared" si="63"/>
        <v>0</v>
      </c>
      <c r="G361" s="48">
        <f t="shared" si="62"/>
        <v>0</v>
      </c>
      <c r="H361" s="48">
        <f t="shared" si="2"/>
        <v>0</v>
      </c>
      <c r="I361" s="18">
        <f t="shared" si="39"/>
        <v>1</v>
      </c>
    </row>
    <row r="362" ht="15.75" customHeight="1">
      <c r="A362" s="45" t="s">
        <v>739</v>
      </c>
      <c r="B362" s="46" t="s">
        <v>740</v>
      </c>
      <c r="C362" s="47">
        <v>1.0</v>
      </c>
      <c r="D362" s="48">
        <f t="shared" si="1"/>
        <v>0</v>
      </c>
      <c r="E362" s="49">
        <v>0.0</v>
      </c>
      <c r="F362" s="48">
        <f t="shared" si="63"/>
        <v>0</v>
      </c>
      <c r="G362" s="48">
        <f t="shared" si="62"/>
        <v>0</v>
      </c>
      <c r="H362" s="48">
        <f t="shared" si="2"/>
        <v>0</v>
      </c>
      <c r="I362" s="18">
        <f t="shared" si="39"/>
        <v>1</v>
      </c>
    </row>
    <row r="363" ht="15.75" customHeight="1">
      <c r="A363" s="45" t="s">
        <v>741</v>
      </c>
      <c r="B363" s="46" t="s">
        <v>742</v>
      </c>
      <c r="C363" s="47">
        <v>1.0</v>
      </c>
      <c r="D363" s="48">
        <f t="shared" si="1"/>
        <v>0</v>
      </c>
      <c r="E363" s="49">
        <v>0.0</v>
      </c>
      <c r="F363" s="48">
        <f t="shared" si="63"/>
        <v>0</v>
      </c>
      <c r="G363" s="48">
        <f t="shared" si="62"/>
        <v>0</v>
      </c>
      <c r="H363" s="48">
        <f t="shared" si="2"/>
        <v>0</v>
      </c>
      <c r="I363" s="18">
        <f t="shared" si="39"/>
        <v>1</v>
      </c>
    </row>
    <row r="364" ht="15.75" customHeight="1">
      <c r="A364" s="45" t="s">
        <v>743</v>
      </c>
      <c r="B364" s="46" t="s">
        <v>744</v>
      </c>
      <c r="C364" s="47">
        <v>1.0</v>
      </c>
      <c r="D364" s="48">
        <f t="shared" si="1"/>
        <v>0</v>
      </c>
      <c r="E364" s="49">
        <v>0.0</v>
      </c>
      <c r="F364" s="48">
        <f t="shared" si="63"/>
        <v>0</v>
      </c>
      <c r="G364" s="48">
        <f t="shared" si="62"/>
        <v>0</v>
      </c>
      <c r="H364" s="48">
        <f t="shared" si="2"/>
        <v>0</v>
      </c>
      <c r="I364" s="18">
        <f t="shared" si="39"/>
        <v>1</v>
      </c>
    </row>
    <row r="365" ht="15.75" customHeight="1">
      <c r="A365" s="45" t="s">
        <v>745</v>
      </c>
      <c r="B365" s="46" t="s">
        <v>746</v>
      </c>
      <c r="C365" s="47">
        <v>1.0</v>
      </c>
      <c r="D365" s="48">
        <f t="shared" si="1"/>
        <v>0</v>
      </c>
      <c r="E365" s="49">
        <v>0.0</v>
      </c>
      <c r="F365" s="48">
        <f t="shared" si="63"/>
        <v>0</v>
      </c>
      <c r="G365" s="48">
        <f t="shared" si="62"/>
        <v>0</v>
      </c>
      <c r="H365" s="48">
        <f t="shared" si="2"/>
        <v>0</v>
      </c>
      <c r="I365" s="18">
        <f t="shared" si="39"/>
        <v>1</v>
      </c>
    </row>
    <row r="366" ht="15.75" customHeight="1">
      <c r="A366" s="45" t="s">
        <v>747</v>
      </c>
      <c r="B366" s="46" t="s">
        <v>748</v>
      </c>
      <c r="C366" s="47">
        <v>1.0</v>
      </c>
      <c r="D366" s="48">
        <f t="shared" si="1"/>
        <v>0</v>
      </c>
      <c r="E366" s="49">
        <v>0.0</v>
      </c>
      <c r="F366" s="48">
        <f t="shared" si="63"/>
        <v>0</v>
      </c>
      <c r="G366" s="48">
        <f t="shared" si="62"/>
        <v>0</v>
      </c>
      <c r="H366" s="48">
        <f t="shared" si="2"/>
        <v>0</v>
      </c>
      <c r="I366" s="18">
        <f t="shared" si="39"/>
        <v>1</v>
      </c>
    </row>
    <row r="367" ht="15.75" customHeight="1">
      <c r="A367" s="45" t="s">
        <v>749</v>
      </c>
      <c r="B367" s="46" t="s">
        <v>750</v>
      </c>
      <c r="C367" s="47">
        <v>1.0</v>
      </c>
      <c r="D367" s="48">
        <f t="shared" si="1"/>
        <v>0</v>
      </c>
      <c r="E367" s="49">
        <v>0.0</v>
      </c>
      <c r="F367" s="48">
        <f t="shared" si="63"/>
        <v>0</v>
      </c>
      <c r="G367" s="48">
        <f t="shared" si="62"/>
        <v>0</v>
      </c>
      <c r="H367" s="48">
        <f t="shared" si="2"/>
        <v>0</v>
      </c>
      <c r="I367" s="18">
        <f t="shared" si="39"/>
        <v>1</v>
      </c>
    </row>
    <row r="368" ht="15.75" customHeight="1">
      <c r="A368" s="45" t="s">
        <v>751</v>
      </c>
      <c r="B368" s="46" t="s">
        <v>752</v>
      </c>
      <c r="C368" s="47">
        <v>1.0</v>
      </c>
      <c r="D368" s="48">
        <f t="shared" si="1"/>
        <v>0</v>
      </c>
      <c r="E368" s="49">
        <v>0.0</v>
      </c>
      <c r="F368" s="48">
        <f t="shared" si="63"/>
        <v>0</v>
      </c>
      <c r="G368" s="48">
        <f t="shared" si="62"/>
        <v>0</v>
      </c>
      <c r="H368" s="48">
        <f t="shared" si="2"/>
        <v>0</v>
      </c>
      <c r="I368" s="18">
        <f t="shared" si="39"/>
        <v>1</v>
      </c>
    </row>
    <row r="369" ht="15.75" customHeight="1">
      <c r="A369" s="45" t="s">
        <v>753</v>
      </c>
      <c r="B369" s="46" t="s">
        <v>754</v>
      </c>
      <c r="C369" s="47">
        <v>1.0</v>
      </c>
      <c r="D369" s="48">
        <f t="shared" si="1"/>
        <v>0</v>
      </c>
      <c r="E369" s="49">
        <v>0.0</v>
      </c>
      <c r="F369" s="48">
        <f t="shared" si="63"/>
        <v>0</v>
      </c>
      <c r="G369" s="48">
        <f t="shared" si="62"/>
        <v>0</v>
      </c>
      <c r="H369" s="48">
        <f t="shared" si="2"/>
        <v>0</v>
      </c>
      <c r="I369" s="18">
        <f t="shared" si="39"/>
        <v>1</v>
      </c>
    </row>
    <row r="370" ht="15.75" customHeight="1">
      <c r="A370" s="45" t="s">
        <v>755</v>
      </c>
      <c r="B370" s="46" t="s">
        <v>756</v>
      </c>
      <c r="C370" s="47">
        <v>1.0</v>
      </c>
      <c r="D370" s="48">
        <f t="shared" si="1"/>
        <v>0</v>
      </c>
      <c r="E370" s="49">
        <v>0.0</v>
      </c>
      <c r="F370" s="48">
        <f t="shared" si="63"/>
        <v>0</v>
      </c>
      <c r="G370" s="48">
        <f t="shared" si="62"/>
        <v>0</v>
      </c>
      <c r="H370" s="48">
        <f t="shared" si="2"/>
        <v>0</v>
      </c>
      <c r="I370" s="18">
        <f t="shared" si="39"/>
        <v>1</v>
      </c>
    </row>
    <row r="371" ht="15.75" customHeight="1">
      <c r="A371" s="45" t="s">
        <v>757</v>
      </c>
      <c r="B371" s="46" t="s">
        <v>758</v>
      </c>
      <c r="C371" s="47">
        <v>1.0</v>
      </c>
      <c r="D371" s="48">
        <f t="shared" si="1"/>
        <v>0</v>
      </c>
      <c r="E371" s="49">
        <v>0.0</v>
      </c>
      <c r="F371" s="48">
        <f t="shared" si="63"/>
        <v>0</v>
      </c>
      <c r="G371" s="48">
        <f t="shared" si="62"/>
        <v>0</v>
      </c>
      <c r="H371" s="48">
        <f t="shared" si="2"/>
        <v>0</v>
      </c>
      <c r="I371" s="18">
        <f t="shared" si="39"/>
        <v>1</v>
      </c>
    </row>
    <row r="372" ht="15.75" customHeight="1">
      <c r="A372" s="45" t="s">
        <v>759</v>
      </c>
      <c r="B372" s="46" t="s">
        <v>760</v>
      </c>
      <c r="C372" s="47">
        <v>1.0</v>
      </c>
      <c r="D372" s="48">
        <f t="shared" si="1"/>
        <v>0</v>
      </c>
      <c r="E372" s="49">
        <v>0.0</v>
      </c>
      <c r="F372" s="48">
        <f t="shared" si="63"/>
        <v>0</v>
      </c>
      <c r="G372" s="48">
        <f t="shared" si="62"/>
        <v>0</v>
      </c>
      <c r="H372" s="48">
        <f t="shared" si="2"/>
        <v>0</v>
      </c>
      <c r="I372" s="18">
        <f t="shared" si="39"/>
        <v>1</v>
      </c>
    </row>
    <row r="373" ht="15.75" customHeight="1">
      <c r="A373" s="45" t="s">
        <v>761</v>
      </c>
      <c r="B373" s="46" t="s">
        <v>762</v>
      </c>
      <c r="C373" s="47">
        <v>1.0</v>
      </c>
      <c r="D373" s="48">
        <f t="shared" si="1"/>
        <v>0</v>
      </c>
      <c r="E373" s="49">
        <v>0.0</v>
      </c>
      <c r="F373" s="48">
        <f t="shared" si="63"/>
        <v>0</v>
      </c>
      <c r="G373" s="48">
        <f t="shared" si="62"/>
        <v>0</v>
      </c>
      <c r="H373" s="48">
        <f t="shared" si="2"/>
        <v>0</v>
      </c>
      <c r="I373" s="18">
        <f t="shared" si="39"/>
        <v>1</v>
      </c>
    </row>
    <row r="374" ht="15.75" customHeight="1">
      <c r="A374" s="45" t="s">
        <v>763</v>
      </c>
      <c r="B374" s="46" t="s">
        <v>764</v>
      </c>
      <c r="C374" s="47">
        <v>1.0</v>
      </c>
      <c r="D374" s="48">
        <f t="shared" si="1"/>
        <v>0</v>
      </c>
      <c r="E374" s="49">
        <v>0.0</v>
      </c>
      <c r="F374" s="48">
        <f t="shared" si="63"/>
        <v>0</v>
      </c>
      <c r="G374" s="48">
        <f t="shared" si="62"/>
        <v>0</v>
      </c>
      <c r="H374" s="48">
        <f t="shared" si="2"/>
        <v>0</v>
      </c>
      <c r="I374" s="18">
        <f t="shared" si="39"/>
        <v>1</v>
      </c>
    </row>
    <row r="375" ht="15.75" customHeight="1">
      <c r="A375" s="45" t="s">
        <v>765</v>
      </c>
      <c r="B375" s="46" t="s">
        <v>766</v>
      </c>
      <c r="C375" s="47">
        <v>1.0</v>
      </c>
      <c r="D375" s="48">
        <f t="shared" si="1"/>
        <v>0</v>
      </c>
      <c r="E375" s="49">
        <v>0.0</v>
      </c>
      <c r="F375" s="48">
        <f t="shared" si="63"/>
        <v>0</v>
      </c>
      <c r="G375" s="48">
        <f t="shared" si="62"/>
        <v>0</v>
      </c>
      <c r="H375" s="48">
        <f t="shared" si="2"/>
        <v>0</v>
      </c>
      <c r="I375" s="18">
        <f t="shared" si="39"/>
        <v>1</v>
      </c>
    </row>
    <row r="376" ht="15.75" customHeight="1">
      <c r="A376" s="45" t="s">
        <v>767</v>
      </c>
      <c r="B376" s="46" t="s">
        <v>768</v>
      </c>
      <c r="C376" s="47">
        <v>1.0</v>
      </c>
      <c r="D376" s="48">
        <f t="shared" si="1"/>
        <v>0</v>
      </c>
      <c r="E376" s="49">
        <v>0.0</v>
      </c>
      <c r="F376" s="48">
        <f t="shared" si="63"/>
        <v>0</v>
      </c>
      <c r="G376" s="48">
        <f t="shared" si="62"/>
        <v>0</v>
      </c>
      <c r="H376" s="48">
        <f t="shared" si="2"/>
        <v>0</v>
      </c>
      <c r="I376" s="18">
        <f t="shared" si="39"/>
        <v>1</v>
      </c>
    </row>
    <row r="377" ht="15.75" customHeight="1">
      <c r="A377" s="45" t="s">
        <v>769</v>
      </c>
      <c r="B377" s="46" t="s">
        <v>770</v>
      </c>
      <c r="C377" s="47">
        <v>1.0</v>
      </c>
      <c r="D377" s="48">
        <f t="shared" si="1"/>
        <v>0</v>
      </c>
      <c r="E377" s="49">
        <v>0.0</v>
      </c>
      <c r="F377" s="48">
        <f t="shared" si="63"/>
        <v>0</v>
      </c>
      <c r="G377" s="48">
        <f t="shared" si="62"/>
        <v>0</v>
      </c>
      <c r="H377" s="48">
        <f t="shared" si="2"/>
        <v>0</v>
      </c>
      <c r="I377" s="18">
        <f t="shared" si="39"/>
        <v>1</v>
      </c>
    </row>
    <row r="378" ht="15.75" customHeight="1">
      <c r="A378" s="45" t="s">
        <v>771</v>
      </c>
      <c r="B378" s="46" t="s">
        <v>772</v>
      </c>
      <c r="C378" s="47">
        <v>1.0</v>
      </c>
      <c r="D378" s="48">
        <f t="shared" si="1"/>
        <v>0</v>
      </c>
      <c r="E378" s="49">
        <v>0.0</v>
      </c>
      <c r="F378" s="48">
        <f t="shared" si="63"/>
        <v>0</v>
      </c>
      <c r="G378" s="48">
        <f t="shared" si="62"/>
        <v>0</v>
      </c>
      <c r="H378" s="48">
        <f t="shared" si="2"/>
        <v>0</v>
      </c>
      <c r="I378" s="18">
        <f t="shared" si="39"/>
        <v>1</v>
      </c>
    </row>
    <row r="379" ht="15.75" customHeight="1">
      <c r="A379" s="45" t="s">
        <v>773</v>
      </c>
      <c r="B379" s="46" t="s">
        <v>774</v>
      </c>
      <c r="C379" s="47">
        <v>1.0</v>
      </c>
      <c r="D379" s="48">
        <f t="shared" si="1"/>
        <v>0</v>
      </c>
      <c r="E379" s="49">
        <v>0.0</v>
      </c>
      <c r="F379" s="48">
        <f t="shared" si="63"/>
        <v>0</v>
      </c>
      <c r="G379" s="48">
        <f t="shared" si="62"/>
        <v>0</v>
      </c>
      <c r="H379" s="48">
        <f t="shared" si="2"/>
        <v>0</v>
      </c>
      <c r="I379" s="18">
        <f t="shared" si="39"/>
        <v>1</v>
      </c>
    </row>
    <row r="380" ht="15.75" customHeight="1">
      <c r="A380" s="45" t="s">
        <v>775</v>
      </c>
      <c r="B380" s="46" t="s">
        <v>776</v>
      </c>
      <c r="C380" s="47">
        <v>1.0</v>
      </c>
      <c r="D380" s="48">
        <f t="shared" si="1"/>
        <v>0</v>
      </c>
      <c r="E380" s="49">
        <v>0.0</v>
      </c>
      <c r="F380" s="48">
        <f t="shared" si="63"/>
        <v>0</v>
      </c>
      <c r="G380" s="48">
        <f t="shared" si="62"/>
        <v>0</v>
      </c>
      <c r="H380" s="48">
        <f t="shared" si="2"/>
        <v>0</v>
      </c>
      <c r="I380" s="18">
        <f t="shared" si="39"/>
        <v>1</v>
      </c>
    </row>
    <row r="381" ht="15.75" customHeight="1">
      <c r="A381" s="45" t="s">
        <v>777</v>
      </c>
      <c r="B381" s="46" t="s">
        <v>778</v>
      </c>
      <c r="C381" s="47">
        <v>1.0</v>
      </c>
      <c r="D381" s="48">
        <f t="shared" si="1"/>
        <v>0</v>
      </c>
      <c r="E381" s="49">
        <v>0.0</v>
      </c>
      <c r="F381" s="48">
        <f t="shared" si="63"/>
        <v>0</v>
      </c>
      <c r="G381" s="48">
        <f t="shared" si="62"/>
        <v>0</v>
      </c>
      <c r="H381" s="48">
        <f t="shared" si="2"/>
        <v>0</v>
      </c>
      <c r="I381" s="18">
        <f t="shared" si="39"/>
        <v>1</v>
      </c>
    </row>
    <row r="382" ht="15.75" customHeight="1">
      <c r="A382" s="45" t="s">
        <v>779</v>
      </c>
      <c r="B382" s="46" t="s">
        <v>780</v>
      </c>
      <c r="C382" s="47">
        <v>1.0</v>
      </c>
      <c r="D382" s="48">
        <f t="shared" si="1"/>
        <v>0</v>
      </c>
      <c r="E382" s="49">
        <v>0.0</v>
      </c>
      <c r="F382" s="48">
        <f t="shared" si="63"/>
        <v>0</v>
      </c>
      <c r="G382" s="48">
        <f t="shared" si="62"/>
        <v>0</v>
      </c>
      <c r="H382" s="48">
        <f t="shared" si="2"/>
        <v>0</v>
      </c>
      <c r="I382" s="18">
        <f t="shared" si="39"/>
        <v>1</v>
      </c>
    </row>
    <row r="383" ht="15.75" customHeight="1">
      <c r="A383" s="45" t="s">
        <v>781</v>
      </c>
      <c r="B383" s="46" t="s">
        <v>782</v>
      </c>
      <c r="C383" s="47">
        <v>1.0</v>
      </c>
      <c r="D383" s="48">
        <f t="shared" si="1"/>
        <v>0</v>
      </c>
      <c r="E383" s="49">
        <v>0.0</v>
      </c>
      <c r="F383" s="48">
        <f t="shared" si="63"/>
        <v>0</v>
      </c>
      <c r="G383" s="48">
        <f t="shared" si="62"/>
        <v>0</v>
      </c>
      <c r="H383" s="48">
        <f t="shared" si="2"/>
        <v>0</v>
      </c>
      <c r="I383" s="18">
        <f t="shared" si="39"/>
        <v>1</v>
      </c>
    </row>
    <row r="384" ht="15.75" customHeight="1">
      <c r="A384" s="45" t="s">
        <v>783</v>
      </c>
      <c r="B384" s="46" t="s">
        <v>784</v>
      </c>
      <c r="C384" s="47">
        <v>1.0</v>
      </c>
      <c r="D384" s="48">
        <f t="shared" si="1"/>
        <v>0</v>
      </c>
      <c r="E384" s="49">
        <v>0.0</v>
      </c>
      <c r="F384" s="48">
        <f t="shared" si="63"/>
        <v>0</v>
      </c>
      <c r="G384" s="48">
        <f t="shared" si="62"/>
        <v>0</v>
      </c>
      <c r="H384" s="48">
        <f t="shared" si="2"/>
        <v>0</v>
      </c>
      <c r="I384" s="18">
        <f t="shared" si="39"/>
        <v>1</v>
      </c>
    </row>
    <row r="385" ht="15.75" customHeight="1">
      <c r="A385" s="45" t="s">
        <v>785</v>
      </c>
      <c r="B385" s="46" t="s">
        <v>786</v>
      </c>
      <c r="C385" s="47">
        <v>1.0</v>
      </c>
      <c r="D385" s="48">
        <f t="shared" si="1"/>
        <v>0</v>
      </c>
      <c r="E385" s="49">
        <v>0.0</v>
      </c>
      <c r="F385" s="48">
        <f t="shared" si="63"/>
        <v>0</v>
      </c>
      <c r="G385" s="48">
        <f t="shared" si="62"/>
        <v>0</v>
      </c>
      <c r="H385" s="48">
        <f t="shared" si="2"/>
        <v>0</v>
      </c>
      <c r="I385" s="18">
        <f t="shared" si="39"/>
        <v>1</v>
      </c>
    </row>
    <row r="386" ht="15.75" customHeight="1">
      <c r="A386" s="45" t="s">
        <v>787</v>
      </c>
      <c r="B386" s="46" t="s">
        <v>788</v>
      </c>
      <c r="C386" s="47">
        <v>1.0</v>
      </c>
      <c r="D386" s="48">
        <f t="shared" si="1"/>
        <v>0</v>
      </c>
      <c r="E386" s="49">
        <v>0.0</v>
      </c>
      <c r="F386" s="48">
        <f t="shared" si="63"/>
        <v>0</v>
      </c>
      <c r="G386" s="48">
        <f t="shared" si="62"/>
        <v>0</v>
      </c>
      <c r="H386" s="48">
        <f t="shared" si="2"/>
        <v>0</v>
      </c>
      <c r="I386" s="18">
        <f t="shared" si="39"/>
        <v>1</v>
      </c>
    </row>
    <row r="387" ht="15.75" customHeight="1">
      <c r="A387" s="45" t="s">
        <v>789</v>
      </c>
      <c r="B387" s="46" t="s">
        <v>790</v>
      </c>
      <c r="C387" s="47">
        <v>1.0</v>
      </c>
      <c r="D387" s="48">
        <f t="shared" si="1"/>
        <v>0</v>
      </c>
      <c r="E387" s="49">
        <v>0.0</v>
      </c>
      <c r="F387" s="48">
        <f t="shared" si="63"/>
        <v>0</v>
      </c>
      <c r="G387" s="48">
        <f t="shared" si="62"/>
        <v>0</v>
      </c>
      <c r="H387" s="48">
        <f t="shared" si="2"/>
        <v>0</v>
      </c>
      <c r="I387" s="18">
        <f t="shared" si="39"/>
        <v>1</v>
      </c>
    </row>
    <row r="388" ht="15.75" customHeight="1">
      <c r="A388" s="45" t="s">
        <v>791</v>
      </c>
      <c r="B388" s="46" t="s">
        <v>792</v>
      </c>
      <c r="C388" s="47">
        <v>1.0</v>
      </c>
      <c r="D388" s="48">
        <f t="shared" si="1"/>
        <v>0</v>
      </c>
      <c r="E388" s="49">
        <v>0.0</v>
      </c>
      <c r="F388" s="48">
        <f t="shared" si="63"/>
        <v>0</v>
      </c>
      <c r="G388" s="48">
        <f t="shared" si="62"/>
        <v>0</v>
      </c>
      <c r="H388" s="48">
        <f t="shared" si="2"/>
        <v>0</v>
      </c>
      <c r="I388" s="18">
        <f t="shared" si="39"/>
        <v>1</v>
      </c>
    </row>
    <row r="389" ht="15.75" customHeight="1">
      <c r="A389" s="45" t="s">
        <v>793</v>
      </c>
      <c r="B389" s="46" t="s">
        <v>794</v>
      </c>
      <c r="C389" s="47">
        <v>1.0</v>
      </c>
      <c r="D389" s="48">
        <f t="shared" si="1"/>
        <v>0</v>
      </c>
      <c r="E389" s="49">
        <v>0.0</v>
      </c>
      <c r="F389" s="48">
        <f t="shared" si="63"/>
        <v>0</v>
      </c>
      <c r="G389" s="48">
        <f t="shared" si="62"/>
        <v>0</v>
      </c>
      <c r="H389" s="48">
        <f t="shared" si="2"/>
        <v>0</v>
      </c>
      <c r="I389" s="18">
        <f t="shared" si="39"/>
        <v>1</v>
      </c>
    </row>
    <row r="390" ht="15.75" customHeight="1">
      <c r="A390" s="45" t="s">
        <v>795</v>
      </c>
      <c r="B390" s="46" t="s">
        <v>796</v>
      </c>
      <c r="C390" s="47">
        <v>1.0</v>
      </c>
      <c r="D390" s="48">
        <f t="shared" si="1"/>
        <v>0</v>
      </c>
      <c r="E390" s="49">
        <v>0.0</v>
      </c>
      <c r="F390" s="48">
        <f t="shared" si="63"/>
        <v>0</v>
      </c>
      <c r="G390" s="48">
        <f t="shared" si="62"/>
        <v>0</v>
      </c>
      <c r="H390" s="48">
        <f t="shared" si="2"/>
        <v>0</v>
      </c>
      <c r="I390" s="18">
        <f t="shared" si="39"/>
        <v>1</v>
      </c>
    </row>
    <row r="391" ht="15.75" customHeight="1">
      <c r="A391" s="45" t="s">
        <v>797</v>
      </c>
      <c r="B391" s="46" t="s">
        <v>798</v>
      </c>
      <c r="C391" s="47">
        <v>1.0</v>
      </c>
      <c r="D391" s="48">
        <f t="shared" si="1"/>
        <v>0</v>
      </c>
      <c r="E391" s="49">
        <v>0.0</v>
      </c>
      <c r="F391" s="48">
        <f t="shared" si="63"/>
        <v>0</v>
      </c>
      <c r="G391" s="48">
        <f t="shared" si="62"/>
        <v>0</v>
      </c>
      <c r="H391" s="48">
        <f t="shared" si="2"/>
        <v>0</v>
      </c>
      <c r="I391" s="18">
        <f t="shared" si="39"/>
        <v>1</v>
      </c>
    </row>
    <row r="392" ht="15.75" customHeight="1">
      <c r="A392" s="45" t="s">
        <v>799</v>
      </c>
      <c r="B392" s="46" t="s">
        <v>800</v>
      </c>
      <c r="C392" s="47">
        <v>1.0</v>
      </c>
      <c r="D392" s="48">
        <f t="shared" si="1"/>
        <v>0</v>
      </c>
      <c r="E392" s="49">
        <v>0.0</v>
      </c>
      <c r="F392" s="48">
        <f t="shared" si="63"/>
        <v>0</v>
      </c>
      <c r="G392" s="48">
        <f t="shared" si="62"/>
        <v>0</v>
      </c>
      <c r="H392" s="48">
        <f t="shared" si="2"/>
        <v>0</v>
      </c>
      <c r="I392" s="18">
        <f t="shared" si="39"/>
        <v>1</v>
      </c>
    </row>
    <row r="393" ht="15.75" customHeight="1">
      <c r="A393" s="45" t="s">
        <v>801</v>
      </c>
      <c r="B393" s="46" t="s">
        <v>802</v>
      </c>
      <c r="C393" s="47">
        <v>1.0</v>
      </c>
      <c r="D393" s="48">
        <f t="shared" si="1"/>
        <v>0</v>
      </c>
      <c r="E393" s="49">
        <v>0.0</v>
      </c>
      <c r="F393" s="48">
        <f t="shared" si="63"/>
        <v>0</v>
      </c>
      <c r="G393" s="48">
        <f t="shared" si="62"/>
        <v>0</v>
      </c>
      <c r="H393" s="48">
        <f t="shared" si="2"/>
        <v>0</v>
      </c>
      <c r="I393" s="18">
        <f t="shared" si="39"/>
        <v>1</v>
      </c>
    </row>
    <row r="394" ht="15.75" customHeight="1">
      <c r="A394" s="45" t="s">
        <v>803</v>
      </c>
      <c r="B394" s="46" t="s">
        <v>804</v>
      </c>
      <c r="C394" s="47">
        <v>1.0</v>
      </c>
      <c r="D394" s="48">
        <f t="shared" si="1"/>
        <v>0</v>
      </c>
      <c r="E394" s="49">
        <v>0.0</v>
      </c>
      <c r="F394" s="48">
        <f t="shared" si="63"/>
        <v>0</v>
      </c>
      <c r="G394" s="48">
        <f t="shared" si="62"/>
        <v>0</v>
      </c>
      <c r="H394" s="48">
        <f t="shared" si="2"/>
        <v>0</v>
      </c>
      <c r="I394" s="18">
        <f t="shared" si="39"/>
        <v>1</v>
      </c>
    </row>
    <row r="395" ht="15.75" customHeight="1">
      <c r="A395" s="45" t="s">
        <v>805</v>
      </c>
      <c r="B395" s="46" t="s">
        <v>806</v>
      </c>
      <c r="C395" s="47">
        <v>1.0</v>
      </c>
      <c r="D395" s="48">
        <f t="shared" si="1"/>
        <v>0</v>
      </c>
      <c r="E395" s="49">
        <v>0.0</v>
      </c>
      <c r="F395" s="48">
        <f t="shared" si="63"/>
        <v>0</v>
      </c>
      <c r="G395" s="48">
        <f t="shared" si="62"/>
        <v>0</v>
      </c>
      <c r="H395" s="48">
        <f t="shared" si="2"/>
        <v>0</v>
      </c>
      <c r="I395" s="18">
        <f t="shared" si="39"/>
        <v>1</v>
      </c>
    </row>
    <row r="396" ht="15.75" customHeight="1">
      <c r="A396" s="45" t="s">
        <v>807</v>
      </c>
      <c r="B396" s="46" t="s">
        <v>808</v>
      </c>
      <c r="C396" s="47">
        <v>1.0</v>
      </c>
      <c r="D396" s="48">
        <f t="shared" si="1"/>
        <v>0</v>
      </c>
      <c r="E396" s="49">
        <v>0.0</v>
      </c>
      <c r="F396" s="48">
        <f t="shared" si="63"/>
        <v>0</v>
      </c>
      <c r="G396" s="48">
        <f t="shared" si="62"/>
        <v>0</v>
      </c>
      <c r="H396" s="48">
        <f t="shared" si="2"/>
        <v>0</v>
      </c>
      <c r="I396" s="18">
        <f t="shared" si="39"/>
        <v>1</v>
      </c>
    </row>
    <row r="397" ht="15.75" customHeight="1">
      <c r="A397" s="45" t="s">
        <v>809</v>
      </c>
      <c r="B397" s="46" t="s">
        <v>810</v>
      </c>
      <c r="C397" s="47">
        <v>1.0</v>
      </c>
      <c r="D397" s="48">
        <f t="shared" si="1"/>
        <v>0</v>
      </c>
      <c r="E397" s="49">
        <v>0.0</v>
      </c>
      <c r="F397" s="48">
        <f t="shared" si="63"/>
        <v>0</v>
      </c>
      <c r="G397" s="48">
        <f t="shared" si="62"/>
        <v>0</v>
      </c>
      <c r="H397" s="48">
        <f t="shared" si="2"/>
        <v>0</v>
      </c>
      <c r="I397" s="18">
        <f t="shared" si="39"/>
        <v>1</v>
      </c>
    </row>
    <row r="398" ht="15.75" customHeight="1">
      <c r="A398" s="45" t="s">
        <v>811</v>
      </c>
      <c r="B398" s="46" t="s">
        <v>812</v>
      </c>
      <c r="C398" s="47">
        <v>1.0</v>
      </c>
      <c r="D398" s="48">
        <f t="shared" si="1"/>
        <v>0</v>
      </c>
      <c r="E398" s="49">
        <v>0.0</v>
      </c>
      <c r="F398" s="48">
        <f t="shared" si="63"/>
        <v>0</v>
      </c>
      <c r="G398" s="48">
        <f t="shared" si="62"/>
        <v>0</v>
      </c>
      <c r="H398" s="48">
        <f t="shared" si="2"/>
        <v>0</v>
      </c>
      <c r="I398" s="18">
        <f t="shared" si="39"/>
        <v>1</v>
      </c>
    </row>
    <row r="399" ht="15.75" customHeight="1">
      <c r="A399" s="45" t="s">
        <v>813</v>
      </c>
      <c r="B399" s="46" t="s">
        <v>814</v>
      </c>
      <c r="C399" s="47">
        <v>1.0</v>
      </c>
      <c r="D399" s="48">
        <f t="shared" si="1"/>
        <v>0</v>
      </c>
      <c r="E399" s="49">
        <v>0.0</v>
      </c>
      <c r="F399" s="48">
        <f t="shared" si="63"/>
        <v>0</v>
      </c>
      <c r="G399" s="48">
        <f t="shared" si="62"/>
        <v>0</v>
      </c>
      <c r="H399" s="48">
        <f t="shared" si="2"/>
        <v>0</v>
      </c>
      <c r="I399" s="18">
        <f t="shared" si="39"/>
        <v>1</v>
      </c>
    </row>
    <row r="400" ht="15.75" customHeight="1">
      <c r="A400" s="45" t="s">
        <v>815</v>
      </c>
      <c r="B400" s="46" t="s">
        <v>816</v>
      </c>
      <c r="C400" s="47">
        <v>1.0</v>
      </c>
      <c r="D400" s="48">
        <f t="shared" si="1"/>
        <v>0</v>
      </c>
      <c r="E400" s="49">
        <v>0.0</v>
      </c>
      <c r="F400" s="48">
        <f t="shared" si="63"/>
        <v>0</v>
      </c>
      <c r="G400" s="48">
        <f t="shared" si="62"/>
        <v>0</v>
      </c>
      <c r="H400" s="48">
        <f t="shared" si="2"/>
        <v>0</v>
      </c>
      <c r="I400" s="18">
        <f t="shared" si="39"/>
        <v>1</v>
      </c>
    </row>
    <row r="401" ht="15.75" customHeight="1">
      <c r="A401" s="45" t="s">
        <v>817</v>
      </c>
      <c r="B401" s="46" t="s">
        <v>818</v>
      </c>
      <c r="C401" s="47">
        <v>1.0</v>
      </c>
      <c r="D401" s="48">
        <f t="shared" si="1"/>
        <v>0</v>
      </c>
      <c r="E401" s="49">
        <v>0.0</v>
      </c>
      <c r="F401" s="48">
        <f t="shared" si="63"/>
        <v>0</v>
      </c>
      <c r="G401" s="48">
        <f t="shared" si="62"/>
        <v>0</v>
      </c>
      <c r="H401" s="48">
        <f t="shared" si="2"/>
        <v>0</v>
      </c>
      <c r="I401" s="18">
        <f t="shared" si="39"/>
        <v>1</v>
      </c>
    </row>
    <row r="402" ht="15.75" customHeight="1">
      <c r="A402" s="45" t="s">
        <v>819</v>
      </c>
      <c r="B402" s="46" t="s">
        <v>820</v>
      </c>
      <c r="C402" s="47">
        <v>1.0</v>
      </c>
      <c r="D402" s="48">
        <f t="shared" si="1"/>
        <v>0</v>
      </c>
      <c r="E402" s="49">
        <v>0.0</v>
      </c>
      <c r="F402" s="48">
        <f t="shared" si="63"/>
        <v>0</v>
      </c>
      <c r="G402" s="48">
        <f t="shared" si="62"/>
        <v>0</v>
      </c>
      <c r="H402" s="48">
        <f t="shared" si="2"/>
        <v>0</v>
      </c>
      <c r="I402" s="18">
        <f t="shared" si="39"/>
        <v>1</v>
      </c>
    </row>
    <row r="403" ht="15.75" customHeight="1">
      <c r="A403" s="45" t="s">
        <v>821</v>
      </c>
      <c r="B403" s="46" t="s">
        <v>822</v>
      </c>
      <c r="C403" s="47">
        <v>1.0</v>
      </c>
      <c r="D403" s="48">
        <f t="shared" si="1"/>
        <v>0</v>
      </c>
      <c r="E403" s="49">
        <v>0.0</v>
      </c>
      <c r="F403" s="48">
        <f t="shared" si="63"/>
        <v>0</v>
      </c>
      <c r="G403" s="48">
        <f t="shared" si="62"/>
        <v>0</v>
      </c>
      <c r="H403" s="48">
        <f t="shared" si="2"/>
        <v>0</v>
      </c>
      <c r="I403" s="18">
        <f t="shared" si="39"/>
        <v>1</v>
      </c>
    </row>
    <row r="404" ht="15.75" customHeight="1">
      <c r="A404" s="45" t="s">
        <v>823</v>
      </c>
      <c r="B404" s="46" t="s">
        <v>824</v>
      </c>
      <c r="C404" s="47">
        <v>1.0</v>
      </c>
      <c r="D404" s="48">
        <f t="shared" si="1"/>
        <v>0</v>
      </c>
      <c r="E404" s="49">
        <v>0.0</v>
      </c>
      <c r="F404" s="48">
        <f t="shared" si="63"/>
        <v>0</v>
      </c>
      <c r="G404" s="48">
        <f t="shared" si="62"/>
        <v>0</v>
      </c>
      <c r="H404" s="48">
        <f t="shared" si="2"/>
        <v>0</v>
      </c>
      <c r="I404" s="18">
        <f t="shared" si="39"/>
        <v>1</v>
      </c>
    </row>
    <row r="405" ht="15.75" customHeight="1">
      <c r="A405" s="45" t="s">
        <v>825</v>
      </c>
      <c r="B405" s="46" t="s">
        <v>826</v>
      </c>
      <c r="C405" s="47">
        <v>1.0</v>
      </c>
      <c r="D405" s="48">
        <f t="shared" si="1"/>
        <v>0</v>
      </c>
      <c r="E405" s="49">
        <v>0.0</v>
      </c>
      <c r="F405" s="48">
        <f t="shared" si="63"/>
        <v>0</v>
      </c>
      <c r="G405" s="48">
        <f t="shared" si="62"/>
        <v>0</v>
      </c>
      <c r="H405" s="48">
        <f t="shared" si="2"/>
        <v>0</v>
      </c>
      <c r="I405" s="18">
        <f t="shared" si="39"/>
        <v>1</v>
      </c>
    </row>
    <row r="406" ht="15.75" customHeight="1">
      <c r="A406" s="45" t="s">
        <v>827</v>
      </c>
      <c r="B406" s="46" t="s">
        <v>828</v>
      </c>
      <c r="C406" s="47">
        <v>1.0</v>
      </c>
      <c r="D406" s="48">
        <f t="shared" si="1"/>
        <v>0</v>
      </c>
      <c r="E406" s="49">
        <v>0.0</v>
      </c>
      <c r="F406" s="48">
        <f t="shared" si="63"/>
        <v>0</v>
      </c>
      <c r="G406" s="48">
        <f t="shared" si="62"/>
        <v>0</v>
      </c>
      <c r="H406" s="48">
        <f t="shared" si="2"/>
        <v>0</v>
      </c>
      <c r="I406" s="18">
        <f t="shared" si="39"/>
        <v>1</v>
      </c>
    </row>
    <row r="407" ht="15.75" customHeight="1">
      <c r="A407" s="45" t="s">
        <v>829</v>
      </c>
      <c r="B407" s="46" t="s">
        <v>830</v>
      </c>
      <c r="C407" s="47">
        <v>1.0</v>
      </c>
      <c r="D407" s="48">
        <f t="shared" si="1"/>
        <v>0</v>
      </c>
      <c r="E407" s="49">
        <v>0.0</v>
      </c>
      <c r="F407" s="48">
        <f t="shared" si="63"/>
        <v>0</v>
      </c>
      <c r="G407" s="48">
        <f t="shared" si="62"/>
        <v>0</v>
      </c>
      <c r="H407" s="48">
        <f t="shared" si="2"/>
        <v>0</v>
      </c>
      <c r="I407" s="18">
        <f t="shared" si="39"/>
        <v>1</v>
      </c>
    </row>
    <row r="408" ht="15.75" customHeight="1">
      <c r="A408" s="45" t="s">
        <v>831</v>
      </c>
      <c r="B408" s="46" t="s">
        <v>832</v>
      </c>
      <c r="C408" s="47">
        <v>1.0</v>
      </c>
      <c r="D408" s="48">
        <f t="shared" si="1"/>
        <v>0</v>
      </c>
      <c r="E408" s="49">
        <v>0.0</v>
      </c>
      <c r="F408" s="48">
        <f t="shared" si="63"/>
        <v>0</v>
      </c>
      <c r="G408" s="48">
        <f t="shared" si="62"/>
        <v>0</v>
      </c>
      <c r="H408" s="48">
        <f t="shared" si="2"/>
        <v>0</v>
      </c>
      <c r="I408" s="18">
        <f t="shared" si="39"/>
        <v>1</v>
      </c>
    </row>
    <row r="409" ht="15.75" customHeight="1">
      <c r="A409" s="45" t="s">
        <v>833</v>
      </c>
      <c r="B409" s="46" t="s">
        <v>834</v>
      </c>
      <c r="C409" s="47">
        <v>1.0</v>
      </c>
      <c r="D409" s="48">
        <f t="shared" si="1"/>
        <v>0</v>
      </c>
      <c r="E409" s="49">
        <v>0.0</v>
      </c>
      <c r="F409" s="48">
        <f t="shared" si="63"/>
        <v>0</v>
      </c>
      <c r="G409" s="48">
        <f t="shared" si="62"/>
        <v>0</v>
      </c>
      <c r="H409" s="48">
        <f t="shared" si="2"/>
        <v>0</v>
      </c>
      <c r="I409" s="18">
        <f t="shared" si="39"/>
        <v>1</v>
      </c>
    </row>
    <row r="410" ht="15.75" customHeight="1">
      <c r="A410" s="45" t="s">
        <v>835</v>
      </c>
      <c r="B410" s="46" t="s">
        <v>836</v>
      </c>
      <c r="C410" s="47">
        <v>1.0</v>
      </c>
      <c r="D410" s="48">
        <f t="shared" si="1"/>
        <v>0</v>
      </c>
      <c r="E410" s="49">
        <v>0.0</v>
      </c>
      <c r="F410" s="48">
        <f t="shared" si="63"/>
        <v>0</v>
      </c>
      <c r="G410" s="48">
        <f t="shared" si="62"/>
        <v>0</v>
      </c>
      <c r="H410" s="48">
        <f t="shared" si="2"/>
        <v>0</v>
      </c>
      <c r="I410" s="18">
        <f t="shared" si="39"/>
        <v>1</v>
      </c>
    </row>
    <row r="411" ht="15.75" customHeight="1">
      <c r="A411" s="45" t="s">
        <v>837</v>
      </c>
      <c r="B411" s="46" t="s">
        <v>838</v>
      </c>
      <c r="C411" s="47">
        <v>1.0</v>
      </c>
      <c r="D411" s="48">
        <f t="shared" si="1"/>
        <v>0</v>
      </c>
      <c r="E411" s="49">
        <v>0.0</v>
      </c>
      <c r="F411" s="48">
        <f t="shared" si="63"/>
        <v>0</v>
      </c>
      <c r="G411" s="48">
        <f t="shared" si="62"/>
        <v>0</v>
      </c>
      <c r="H411" s="48">
        <f t="shared" si="2"/>
        <v>0</v>
      </c>
      <c r="I411" s="18">
        <f t="shared" si="39"/>
        <v>1</v>
      </c>
    </row>
    <row r="412" ht="15.75" customHeight="1">
      <c r="A412" s="45" t="s">
        <v>839</v>
      </c>
      <c r="B412" s="46" t="s">
        <v>840</v>
      </c>
      <c r="C412" s="47">
        <v>1.0</v>
      </c>
      <c r="D412" s="48">
        <f t="shared" si="1"/>
        <v>0</v>
      </c>
      <c r="E412" s="49">
        <v>0.0</v>
      </c>
      <c r="F412" s="48">
        <f t="shared" si="63"/>
        <v>0</v>
      </c>
      <c r="G412" s="48">
        <f t="shared" si="62"/>
        <v>0</v>
      </c>
      <c r="H412" s="48">
        <f t="shared" si="2"/>
        <v>0</v>
      </c>
      <c r="I412" s="18">
        <f t="shared" si="39"/>
        <v>1</v>
      </c>
    </row>
    <row r="413" ht="15.75" customHeight="1">
      <c r="A413" s="45" t="s">
        <v>841</v>
      </c>
      <c r="B413" s="46" t="s">
        <v>842</v>
      </c>
      <c r="C413" s="47">
        <v>1.0</v>
      </c>
      <c r="D413" s="48">
        <f t="shared" si="1"/>
        <v>0</v>
      </c>
      <c r="E413" s="49">
        <v>0.0</v>
      </c>
      <c r="F413" s="48">
        <f t="shared" si="63"/>
        <v>0</v>
      </c>
      <c r="G413" s="48">
        <f t="shared" si="62"/>
        <v>0</v>
      </c>
      <c r="H413" s="48">
        <f t="shared" si="2"/>
        <v>0</v>
      </c>
      <c r="I413" s="18">
        <f t="shared" si="39"/>
        <v>1</v>
      </c>
    </row>
    <row r="414" ht="15.75" customHeight="1">
      <c r="A414" s="45" t="s">
        <v>843</v>
      </c>
      <c r="B414" s="46" t="s">
        <v>844</v>
      </c>
      <c r="C414" s="47">
        <v>1.0</v>
      </c>
      <c r="D414" s="48">
        <f t="shared" si="1"/>
        <v>0</v>
      </c>
      <c r="E414" s="49">
        <v>0.0</v>
      </c>
      <c r="F414" s="48">
        <f t="shared" si="63"/>
        <v>0</v>
      </c>
      <c r="G414" s="48">
        <f t="shared" si="62"/>
        <v>0</v>
      </c>
      <c r="H414" s="48">
        <f t="shared" si="2"/>
        <v>0</v>
      </c>
      <c r="I414" s="18">
        <f t="shared" si="39"/>
        <v>1</v>
      </c>
    </row>
    <row r="415" ht="15.75" customHeight="1">
      <c r="A415" s="45" t="s">
        <v>845</v>
      </c>
      <c r="B415" s="46" t="s">
        <v>846</v>
      </c>
      <c r="C415" s="47">
        <v>1.0</v>
      </c>
      <c r="D415" s="48">
        <f t="shared" si="1"/>
        <v>0</v>
      </c>
      <c r="E415" s="49">
        <v>0.0</v>
      </c>
      <c r="F415" s="48">
        <f t="shared" si="63"/>
        <v>0</v>
      </c>
      <c r="G415" s="48">
        <f t="shared" si="62"/>
        <v>0</v>
      </c>
      <c r="H415" s="48">
        <f t="shared" si="2"/>
        <v>0</v>
      </c>
      <c r="I415" s="18">
        <f t="shared" si="39"/>
        <v>1</v>
      </c>
    </row>
    <row r="416" ht="15.75" customHeight="1">
      <c r="A416" s="45" t="s">
        <v>847</v>
      </c>
      <c r="B416" s="46" t="s">
        <v>848</v>
      </c>
      <c r="C416" s="47">
        <v>1.0</v>
      </c>
      <c r="D416" s="48">
        <f t="shared" si="1"/>
        <v>0</v>
      </c>
      <c r="E416" s="49">
        <v>0.0</v>
      </c>
      <c r="F416" s="48">
        <f t="shared" si="63"/>
        <v>0</v>
      </c>
      <c r="G416" s="48">
        <f t="shared" si="62"/>
        <v>0</v>
      </c>
      <c r="H416" s="48">
        <f t="shared" si="2"/>
        <v>0</v>
      </c>
      <c r="I416" s="18">
        <f t="shared" si="39"/>
        <v>1</v>
      </c>
    </row>
    <row r="417" ht="15.75" customHeight="1">
      <c r="A417" s="45" t="s">
        <v>849</v>
      </c>
      <c r="B417" s="46" t="s">
        <v>850</v>
      </c>
      <c r="C417" s="47">
        <v>1.0</v>
      </c>
      <c r="D417" s="48">
        <f t="shared" si="1"/>
        <v>0</v>
      </c>
      <c r="E417" s="49">
        <v>0.0</v>
      </c>
      <c r="F417" s="48">
        <f t="shared" si="63"/>
        <v>0</v>
      </c>
      <c r="G417" s="48">
        <f t="shared" si="62"/>
        <v>0</v>
      </c>
      <c r="H417" s="48">
        <f t="shared" si="2"/>
        <v>0</v>
      </c>
      <c r="I417" s="18">
        <f t="shared" si="39"/>
        <v>1</v>
      </c>
    </row>
    <row r="418" ht="15.75" customHeight="1">
      <c r="A418" s="45" t="s">
        <v>851</v>
      </c>
      <c r="B418" s="46" t="s">
        <v>852</v>
      </c>
      <c r="C418" s="47">
        <v>1.0</v>
      </c>
      <c r="D418" s="48">
        <f t="shared" si="1"/>
        <v>0</v>
      </c>
      <c r="E418" s="49">
        <v>0.0</v>
      </c>
      <c r="F418" s="48">
        <f t="shared" si="63"/>
        <v>0</v>
      </c>
      <c r="G418" s="48">
        <f t="shared" si="62"/>
        <v>0</v>
      </c>
      <c r="H418" s="48">
        <f t="shared" si="2"/>
        <v>0</v>
      </c>
      <c r="I418" s="18">
        <f t="shared" si="39"/>
        <v>1</v>
      </c>
    </row>
    <row r="419" ht="15.75" customHeight="1">
      <c r="A419" s="45" t="s">
        <v>853</v>
      </c>
      <c r="B419" s="46" t="s">
        <v>854</v>
      </c>
      <c r="C419" s="47">
        <v>1.0</v>
      </c>
      <c r="D419" s="48">
        <f t="shared" si="1"/>
        <v>0</v>
      </c>
      <c r="E419" s="49">
        <v>0.0</v>
      </c>
      <c r="F419" s="48">
        <f t="shared" si="63"/>
        <v>0</v>
      </c>
      <c r="G419" s="48">
        <f t="shared" si="62"/>
        <v>0</v>
      </c>
      <c r="H419" s="48">
        <f t="shared" si="2"/>
        <v>0</v>
      </c>
      <c r="I419" s="18">
        <f t="shared" si="39"/>
        <v>1</v>
      </c>
    </row>
    <row r="420" ht="15.75" customHeight="1">
      <c r="A420" s="45" t="s">
        <v>855</v>
      </c>
      <c r="B420" s="46" t="s">
        <v>856</v>
      </c>
      <c r="C420" s="47">
        <v>1.0</v>
      </c>
      <c r="D420" s="48">
        <f t="shared" si="1"/>
        <v>0</v>
      </c>
      <c r="E420" s="49">
        <v>0.0</v>
      </c>
      <c r="F420" s="48">
        <f t="shared" si="63"/>
        <v>0</v>
      </c>
      <c r="G420" s="48">
        <f t="shared" si="62"/>
        <v>0</v>
      </c>
      <c r="H420" s="48">
        <f t="shared" si="2"/>
        <v>0</v>
      </c>
      <c r="I420" s="18">
        <f t="shared" si="39"/>
        <v>1</v>
      </c>
    </row>
    <row r="421" ht="15.75" customHeight="1">
      <c r="A421" s="45" t="s">
        <v>857</v>
      </c>
      <c r="B421" s="46" t="s">
        <v>858</v>
      </c>
      <c r="C421" s="47">
        <v>1.0</v>
      </c>
      <c r="D421" s="48">
        <f t="shared" si="1"/>
        <v>0</v>
      </c>
      <c r="E421" s="49">
        <v>0.0</v>
      </c>
      <c r="F421" s="48">
        <f t="shared" si="63"/>
        <v>0</v>
      </c>
      <c r="G421" s="48">
        <f t="shared" si="62"/>
        <v>0</v>
      </c>
      <c r="H421" s="48">
        <f t="shared" si="2"/>
        <v>0</v>
      </c>
      <c r="I421" s="18">
        <f t="shared" si="39"/>
        <v>1</v>
      </c>
    </row>
    <row r="422" ht="15.75" customHeight="1">
      <c r="A422" s="45" t="s">
        <v>859</v>
      </c>
      <c r="B422" s="46" t="s">
        <v>860</v>
      </c>
      <c r="C422" s="47">
        <v>1.0</v>
      </c>
      <c r="D422" s="48">
        <f t="shared" si="1"/>
        <v>0</v>
      </c>
      <c r="E422" s="49">
        <v>0.0</v>
      </c>
      <c r="F422" s="48">
        <f t="shared" si="63"/>
        <v>0</v>
      </c>
      <c r="G422" s="48">
        <f t="shared" si="62"/>
        <v>0</v>
      </c>
      <c r="H422" s="48">
        <f t="shared" si="2"/>
        <v>0</v>
      </c>
      <c r="I422" s="18">
        <f t="shared" si="39"/>
        <v>1</v>
      </c>
    </row>
    <row r="423" ht="15.75" customHeight="1">
      <c r="A423" s="45" t="s">
        <v>861</v>
      </c>
      <c r="B423" s="46" t="s">
        <v>862</v>
      </c>
      <c r="C423" s="47">
        <v>1.0</v>
      </c>
      <c r="D423" s="48">
        <f t="shared" si="1"/>
        <v>0</v>
      </c>
      <c r="E423" s="49">
        <v>0.0</v>
      </c>
      <c r="F423" s="48">
        <f t="shared" si="63"/>
        <v>0</v>
      </c>
      <c r="G423" s="48">
        <f t="shared" si="62"/>
        <v>0</v>
      </c>
      <c r="H423" s="48">
        <f t="shared" si="2"/>
        <v>0</v>
      </c>
      <c r="I423" s="18">
        <f t="shared" si="39"/>
        <v>1</v>
      </c>
    </row>
    <row r="424" ht="15.75" customHeight="1">
      <c r="A424" s="45" t="s">
        <v>863</v>
      </c>
      <c r="B424" s="46" t="s">
        <v>864</v>
      </c>
      <c r="C424" s="47">
        <v>1.0</v>
      </c>
      <c r="D424" s="48">
        <f t="shared" si="1"/>
        <v>0</v>
      </c>
      <c r="E424" s="49">
        <v>0.0</v>
      </c>
      <c r="F424" s="48">
        <f t="shared" si="63"/>
        <v>0</v>
      </c>
      <c r="G424" s="48">
        <f t="shared" si="62"/>
        <v>0</v>
      </c>
      <c r="H424" s="48">
        <f t="shared" si="2"/>
        <v>0</v>
      </c>
      <c r="I424" s="18">
        <f t="shared" si="39"/>
        <v>1</v>
      </c>
    </row>
    <row r="425" ht="15.75" customHeight="1">
      <c r="A425" s="45" t="s">
        <v>865</v>
      </c>
      <c r="B425" s="46" t="s">
        <v>866</v>
      </c>
      <c r="C425" s="47">
        <v>1.0</v>
      </c>
      <c r="D425" s="48">
        <f t="shared" si="1"/>
        <v>0</v>
      </c>
      <c r="E425" s="49">
        <v>0.0</v>
      </c>
      <c r="F425" s="48">
        <f t="shared" si="63"/>
        <v>0</v>
      </c>
      <c r="G425" s="48">
        <f t="shared" si="62"/>
        <v>0</v>
      </c>
      <c r="H425" s="48">
        <f t="shared" si="2"/>
        <v>0</v>
      </c>
      <c r="I425" s="18">
        <f t="shared" si="39"/>
        <v>1</v>
      </c>
    </row>
    <row r="426" ht="15.75" customHeight="1">
      <c r="A426" s="45" t="s">
        <v>867</v>
      </c>
      <c r="B426" s="46" t="s">
        <v>868</v>
      </c>
      <c r="C426" s="47">
        <v>15.0</v>
      </c>
      <c r="D426" s="48">
        <f t="shared" si="1"/>
        <v>0.6</v>
      </c>
      <c r="E426" s="49">
        <v>9.0</v>
      </c>
      <c r="F426" s="48">
        <f>D426*1.69</f>
        <v>1.014</v>
      </c>
      <c r="G426" s="48">
        <f>E426*1.11</f>
        <v>9.99</v>
      </c>
      <c r="H426" s="48">
        <f t="shared" si="2"/>
        <v>0.666</v>
      </c>
      <c r="I426" s="18">
        <f t="shared" si="39"/>
        <v>1</v>
      </c>
    </row>
    <row r="427" ht="15.75" customHeight="1">
      <c r="A427" s="45" t="s">
        <v>869</v>
      </c>
      <c r="B427" s="46" t="s">
        <v>870</v>
      </c>
      <c r="C427" s="47">
        <v>1.0</v>
      </c>
      <c r="D427" s="48">
        <f t="shared" si="1"/>
        <v>0</v>
      </c>
      <c r="E427" s="49">
        <v>0.0</v>
      </c>
      <c r="F427" s="48">
        <f t="shared" ref="F427:F550" si="64">D427*1.8</f>
        <v>0</v>
      </c>
      <c r="G427" s="48">
        <f t="shared" ref="G427:G550" si="65">E427*1.5</f>
        <v>0</v>
      </c>
      <c r="H427" s="48">
        <f t="shared" si="2"/>
        <v>0</v>
      </c>
      <c r="I427" s="18">
        <f t="shared" si="39"/>
        <v>1</v>
      </c>
    </row>
    <row r="428" ht="15.75" customHeight="1">
      <c r="A428" s="45" t="s">
        <v>871</v>
      </c>
      <c r="B428" s="46" t="s">
        <v>872</v>
      </c>
      <c r="C428" s="47">
        <v>1.0</v>
      </c>
      <c r="D428" s="48">
        <f t="shared" si="1"/>
        <v>0</v>
      </c>
      <c r="E428" s="49">
        <v>0.0</v>
      </c>
      <c r="F428" s="48">
        <f t="shared" si="64"/>
        <v>0</v>
      </c>
      <c r="G428" s="48">
        <f t="shared" si="65"/>
        <v>0</v>
      </c>
      <c r="H428" s="48">
        <f t="shared" si="2"/>
        <v>0</v>
      </c>
      <c r="I428" s="18">
        <f t="shared" si="39"/>
        <v>1</v>
      </c>
    </row>
    <row r="429" ht="15.75" customHeight="1">
      <c r="A429" s="45" t="s">
        <v>873</v>
      </c>
      <c r="B429" s="46" t="s">
        <v>874</v>
      </c>
      <c r="C429" s="47">
        <v>1.0</v>
      </c>
      <c r="D429" s="48">
        <f t="shared" si="1"/>
        <v>0</v>
      </c>
      <c r="E429" s="49">
        <v>0.0</v>
      </c>
      <c r="F429" s="48">
        <f t="shared" si="64"/>
        <v>0</v>
      </c>
      <c r="G429" s="48">
        <f t="shared" si="65"/>
        <v>0</v>
      </c>
      <c r="H429" s="48">
        <f t="shared" si="2"/>
        <v>0</v>
      </c>
      <c r="I429" s="18">
        <f t="shared" si="39"/>
        <v>1</v>
      </c>
    </row>
    <row r="430" ht="15.75" customHeight="1">
      <c r="A430" s="45" t="s">
        <v>875</v>
      </c>
      <c r="B430" s="46" t="s">
        <v>876</v>
      </c>
      <c r="C430" s="47">
        <v>1.0</v>
      </c>
      <c r="D430" s="48">
        <f t="shared" si="1"/>
        <v>0</v>
      </c>
      <c r="E430" s="49">
        <v>0.0</v>
      </c>
      <c r="F430" s="48">
        <f t="shared" si="64"/>
        <v>0</v>
      </c>
      <c r="G430" s="48">
        <f t="shared" si="65"/>
        <v>0</v>
      </c>
      <c r="H430" s="48">
        <f t="shared" si="2"/>
        <v>0</v>
      </c>
      <c r="I430" s="18">
        <f t="shared" si="39"/>
        <v>1</v>
      </c>
    </row>
    <row r="431" ht="15.75" customHeight="1">
      <c r="A431" s="45" t="s">
        <v>877</v>
      </c>
      <c r="B431" s="46" t="s">
        <v>878</v>
      </c>
      <c r="C431" s="47">
        <v>1.0</v>
      </c>
      <c r="D431" s="48">
        <f t="shared" si="1"/>
        <v>0</v>
      </c>
      <c r="E431" s="49">
        <v>0.0</v>
      </c>
      <c r="F431" s="48">
        <f t="shared" si="64"/>
        <v>0</v>
      </c>
      <c r="G431" s="48">
        <f t="shared" si="65"/>
        <v>0</v>
      </c>
      <c r="H431" s="48">
        <f t="shared" si="2"/>
        <v>0</v>
      </c>
      <c r="I431" s="18">
        <f t="shared" si="39"/>
        <v>1</v>
      </c>
    </row>
    <row r="432" ht="15.75" customHeight="1">
      <c r="A432" s="45" t="s">
        <v>879</v>
      </c>
      <c r="B432" s="46" t="s">
        <v>880</v>
      </c>
      <c r="C432" s="47">
        <v>1.0</v>
      </c>
      <c r="D432" s="48">
        <f t="shared" si="1"/>
        <v>0</v>
      </c>
      <c r="E432" s="49">
        <v>0.0</v>
      </c>
      <c r="F432" s="48">
        <f t="shared" si="64"/>
        <v>0</v>
      </c>
      <c r="G432" s="48">
        <f t="shared" si="65"/>
        <v>0</v>
      </c>
      <c r="H432" s="48">
        <f t="shared" si="2"/>
        <v>0</v>
      </c>
      <c r="I432" s="18">
        <f t="shared" si="39"/>
        <v>1</v>
      </c>
    </row>
    <row r="433" ht="15.75" customHeight="1">
      <c r="A433" s="45" t="s">
        <v>881</v>
      </c>
      <c r="B433" s="46" t="s">
        <v>882</v>
      </c>
      <c r="C433" s="47">
        <v>1.0</v>
      </c>
      <c r="D433" s="48">
        <f t="shared" si="1"/>
        <v>0</v>
      </c>
      <c r="E433" s="49">
        <v>0.0</v>
      </c>
      <c r="F433" s="48">
        <f t="shared" si="64"/>
        <v>0</v>
      </c>
      <c r="G433" s="48">
        <f t="shared" si="65"/>
        <v>0</v>
      </c>
      <c r="H433" s="48">
        <f t="shared" si="2"/>
        <v>0</v>
      </c>
      <c r="I433" s="18">
        <f t="shared" si="39"/>
        <v>1</v>
      </c>
    </row>
    <row r="434" ht="15.75" customHeight="1">
      <c r="A434" s="45" t="s">
        <v>883</v>
      </c>
      <c r="B434" s="46" t="s">
        <v>884</v>
      </c>
      <c r="C434" s="47">
        <v>1.0</v>
      </c>
      <c r="D434" s="48">
        <f t="shared" si="1"/>
        <v>0</v>
      </c>
      <c r="E434" s="49">
        <v>0.0</v>
      </c>
      <c r="F434" s="48">
        <f t="shared" si="64"/>
        <v>0</v>
      </c>
      <c r="G434" s="48">
        <f t="shared" si="65"/>
        <v>0</v>
      </c>
      <c r="H434" s="48">
        <f t="shared" si="2"/>
        <v>0</v>
      </c>
      <c r="I434" s="18">
        <f t="shared" si="39"/>
        <v>1</v>
      </c>
    </row>
    <row r="435" ht="15.75" customHeight="1">
      <c r="A435" s="45" t="s">
        <v>885</v>
      </c>
      <c r="B435" s="46" t="s">
        <v>886</v>
      </c>
      <c r="C435" s="47">
        <v>1.0</v>
      </c>
      <c r="D435" s="48">
        <f t="shared" si="1"/>
        <v>0</v>
      </c>
      <c r="E435" s="49">
        <v>0.0</v>
      </c>
      <c r="F435" s="48">
        <f t="shared" si="64"/>
        <v>0</v>
      </c>
      <c r="G435" s="48">
        <f t="shared" si="65"/>
        <v>0</v>
      </c>
      <c r="H435" s="48">
        <f t="shared" si="2"/>
        <v>0</v>
      </c>
      <c r="I435" s="18">
        <f t="shared" si="39"/>
        <v>1</v>
      </c>
    </row>
    <row r="436" ht="15.75" customHeight="1">
      <c r="A436" s="45" t="s">
        <v>887</v>
      </c>
      <c r="B436" s="46" t="s">
        <v>888</v>
      </c>
      <c r="C436" s="47">
        <v>1.0</v>
      </c>
      <c r="D436" s="48">
        <f t="shared" si="1"/>
        <v>0</v>
      </c>
      <c r="E436" s="49">
        <v>0.0</v>
      </c>
      <c r="F436" s="48">
        <f t="shared" si="64"/>
        <v>0</v>
      </c>
      <c r="G436" s="48">
        <f t="shared" si="65"/>
        <v>0</v>
      </c>
      <c r="H436" s="48">
        <f t="shared" si="2"/>
        <v>0</v>
      </c>
      <c r="I436" s="18">
        <f t="shared" si="39"/>
        <v>1</v>
      </c>
    </row>
    <row r="437" ht="15.75" customHeight="1">
      <c r="A437" s="45" t="s">
        <v>889</v>
      </c>
      <c r="B437" s="46" t="s">
        <v>890</v>
      </c>
      <c r="C437" s="47">
        <v>1.0</v>
      </c>
      <c r="D437" s="48">
        <f t="shared" si="1"/>
        <v>0</v>
      </c>
      <c r="E437" s="49">
        <v>0.0</v>
      </c>
      <c r="F437" s="48">
        <f t="shared" si="64"/>
        <v>0</v>
      </c>
      <c r="G437" s="48">
        <f t="shared" si="65"/>
        <v>0</v>
      </c>
      <c r="H437" s="48">
        <f t="shared" si="2"/>
        <v>0</v>
      </c>
      <c r="I437" s="18">
        <f t="shared" si="39"/>
        <v>1</v>
      </c>
    </row>
    <row r="438" ht="15.75" customHeight="1">
      <c r="A438" s="45" t="s">
        <v>891</v>
      </c>
      <c r="B438" s="46" t="s">
        <v>892</v>
      </c>
      <c r="C438" s="47">
        <v>1.0</v>
      </c>
      <c r="D438" s="48">
        <f t="shared" si="1"/>
        <v>0</v>
      </c>
      <c r="E438" s="49">
        <v>0.0</v>
      </c>
      <c r="F438" s="48">
        <f t="shared" si="64"/>
        <v>0</v>
      </c>
      <c r="G438" s="48">
        <f t="shared" si="65"/>
        <v>0</v>
      </c>
      <c r="H438" s="48">
        <f t="shared" si="2"/>
        <v>0</v>
      </c>
      <c r="I438" s="18">
        <f t="shared" si="39"/>
        <v>1</v>
      </c>
    </row>
    <row r="439" ht="15.75" customHeight="1">
      <c r="A439" s="45" t="s">
        <v>893</v>
      </c>
      <c r="B439" s="46" t="s">
        <v>894</v>
      </c>
      <c r="C439" s="47">
        <v>8.0</v>
      </c>
      <c r="D439" s="48">
        <f t="shared" si="1"/>
        <v>20</v>
      </c>
      <c r="E439" s="49">
        <v>160.0</v>
      </c>
      <c r="F439" s="48">
        <f t="shared" si="64"/>
        <v>36</v>
      </c>
      <c r="G439" s="48">
        <f t="shared" si="65"/>
        <v>240</v>
      </c>
      <c r="H439" s="48">
        <f t="shared" si="2"/>
        <v>30</v>
      </c>
      <c r="I439" s="18">
        <f t="shared" si="39"/>
        <v>1</v>
      </c>
    </row>
    <row r="440" ht="15.75" customHeight="1">
      <c r="A440" s="45" t="s">
        <v>895</v>
      </c>
      <c r="B440" s="46" t="s">
        <v>896</v>
      </c>
      <c r="C440" s="47">
        <v>1.0</v>
      </c>
      <c r="D440" s="48">
        <f t="shared" si="1"/>
        <v>0</v>
      </c>
      <c r="E440" s="49">
        <v>0.0</v>
      </c>
      <c r="F440" s="48">
        <f t="shared" si="64"/>
        <v>0</v>
      </c>
      <c r="G440" s="48">
        <f t="shared" si="65"/>
        <v>0</v>
      </c>
      <c r="H440" s="48">
        <f t="shared" si="2"/>
        <v>0</v>
      </c>
      <c r="I440" s="18">
        <f t="shared" si="39"/>
        <v>1</v>
      </c>
    </row>
    <row r="441" ht="15.75" customHeight="1">
      <c r="A441" s="45" t="s">
        <v>897</v>
      </c>
      <c r="B441" s="46" t="s">
        <v>898</v>
      </c>
      <c r="C441" s="47">
        <v>1.0</v>
      </c>
      <c r="D441" s="48">
        <f t="shared" si="1"/>
        <v>0</v>
      </c>
      <c r="E441" s="49">
        <v>0.0</v>
      </c>
      <c r="F441" s="48">
        <f t="shared" si="64"/>
        <v>0</v>
      </c>
      <c r="G441" s="48">
        <f t="shared" si="65"/>
        <v>0</v>
      </c>
      <c r="H441" s="48">
        <f t="shared" si="2"/>
        <v>0</v>
      </c>
      <c r="I441" s="18">
        <f t="shared" si="39"/>
        <v>1</v>
      </c>
    </row>
    <row r="442" ht="15.75" customHeight="1">
      <c r="A442" s="45" t="s">
        <v>899</v>
      </c>
      <c r="B442" s="46" t="s">
        <v>900</v>
      </c>
      <c r="C442" s="47">
        <v>1.0</v>
      </c>
      <c r="D442" s="48">
        <f t="shared" si="1"/>
        <v>0</v>
      </c>
      <c r="E442" s="49">
        <v>0.0</v>
      </c>
      <c r="F442" s="48">
        <f t="shared" si="64"/>
        <v>0</v>
      </c>
      <c r="G442" s="48">
        <f t="shared" si="65"/>
        <v>0</v>
      </c>
      <c r="H442" s="48">
        <f t="shared" si="2"/>
        <v>0</v>
      </c>
      <c r="I442" s="18">
        <f t="shared" si="39"/>
        <v>1</v>
      </c>
    </row>
    <row r="443" ht="15.75" customHeight="1">
      <c r="A443" s="45" t="s">
        <v>901</v>
      </c>
      <c r="B443" s="46" t="s">
        <v>902</v>
      </c>
      <c r="C443" s="47">
        <v>1.0</v>
      </c>
      <c r="D443" s="48">
        <f t="shared" si="1"/>
        <v>0</v>
      </c>
      <c r="E443" s="49">
        <v>0.0</v>
      </c>
      <c r="F443" s="48">
        <f t="shared" si="64"/>
        <v>0</v>
      </c>
      <c r="G443" s="48">
        <f t="shared" si="65"/>
        <v>0</v>
      </c>
      <c r="H443" s="48">
        <f t="shared" si="2"/>
        <v>0</v>
      </c>
      <c r="I443" s="18">
        <f t="shared" si="39"/>
        <v>1</v>
      </c>
    </row>
    <row r="444" ht="15.75" customHeight="1">
      <c r="A444" s="45" t="s">
        <v>903</v>
      </c>
      <c r="B444" s="46" t="s">
        <v>904</v>
      </c>
      <c r="C444" s="47">
        <v>1.0</v>
      </c>
      <c r="D444" s="48">
        <f t="shared" si="1"/>
        <v>0</v>
      </c>
      <c r="E444" s="49">
        <v>0.0</v>
      </c>
      <c r="F444" s="48">
        <f t="shared" si="64"/>
        <v>0</v>
      </c>
      <c r="G444" s="48">
        <f t="shared" si="65"/>
        <v>0</v>
      </c>
      <c r="H444" s="48">
        <f t="shared" si="2"/>
        <v>0</v>
      </c>
      <c r="I444" s="18">
        <f t="shared" si="39"/>
        <v>1</v>
      </c>
    </row>
    <row r="445" ht="15.75" customHeight="1">
      <c r="A445" s="45" t="s">
        <v>905</v>
      </c>
      <c r="B445" s="46" t="s">
        <v>906</v>
      </c>
      <c r="C445" s="47">
        <v>1.0</v>
      </c>
      <c r="D445" s="48">
        <f t="shared" si="1"/>
        <v>0</v>
      </c>
      <c r="E445" s="49">
        <v>0.0</v>
      </c>
      <c r="F445" s="48">
        <f t="shared" si="64"/>
        <v>0</v>
      </c>
      <c r="G445" s="48">
        <f t="shared" si="65"/>
        <v>0</v>
      </c>
      <c r="H445" s="48">
        <f t="shared" si="2"/>
        <v>0</v>
      </c>
      <c r="I445" s="18">
        <f t="shared" si="39"/>
        <v>1</v>
      </c>
    </row>
    <row r="446" ht="15.75" customHeight="1">
      <c r="A446" s="45" t="s">
        <v>907</v>
      </c>
      <c r="B446" s="46" t="s">
        <v>908</v>
      </c>
      <c r="C446" s="47">
        <v>1.0</v>
      </c>
      <c r="D446" s="48">
        <f t="shared" si="1"/>
        <v>0</v>
      </c>
      <c r="E446" s="49">
        <v>0.0</v>
      </c>
      <c r="F446" s="48">
        <f t="shared" si="64"/>
        <v>0</v>
      </c>
      <c r="G446" s="48">
        <f t="shared" si="65"/>
        <v>0</v>
      </c>
      <c r="H446" s="48">
        <f t="shared" si="2"/>
        <v>0</v>
      </c>
      <c r="I446" s="18">
        <f t="shared" si="39"/>
        <v>1</v>
      </c>
    </row>
    <row r="447" ht="15.75" customHeight="1">
      <c r="A447" s="45" t="s">
        <v>909</v>
      </c>
      <c r="B447" s="46" t="s">
        <v>910</v>
      </c>
      <c r="C447" s="47">
        <v>1.0</v>
      </c>
      <c r="D447" s="48">
        <f t="shared" si="1"/>
        <v>0</v>
      </c>
      <c r="E447" s="49">
        <v>0.0</v>
      </c>
      <c r="F447" s="48">
        <f t="shared" si="64"/>
        <v>0</v>
      </c>
      <c r="G447" s="48">
        <f t="shared" si="65"/>
        <v>0</v>
      </c>
      <c r="H447" s="48">
        <f t="shared" si="2"/>
        <v>0</v>
      </c>
      <c r="I447" s="18">
        <f t="shared" si="39"/>
        <v>1</v>
      </c>
    </row>
    <row r="448" ht="15.75" customHeight="1">
      <c r="A448" s="45" t="s">
        <v>911</v>
      </c>
      <c r="B448" s="46" t="s">
        <v>912</v>
      </c>
      <c r="C448" s="47">
        <v>1.0</v>
      </c>
      <c r="D448" s="48">
        <f t="shared" si="1"/>
        <v>0</v>
      </c>
      <c r="E448" s="49">
        <v>0.0</v>
      </c>
      <c r="F448" s="48">
        <f t="shared" si="64"/>
        <v>0</v>
      </c>
      <c r="G448" s="48">
        <f t="shared" si="65"/>
        <v>0</v>
      </c>
      <c r="H448" s="48">
        <f t="shared" si="2"/>
        <v>0</v>
      </c>
      <c r="I448" s="18">
        <f t="shared" si="39"/>
        <v>1</v>
      </c>
    </row>
    <row r="449" ht="15.75" customHeight="1">
      <c r="A449" s="45" t="s">
        <v>913</v>
      </c>
      <c r="B449" s="46" t="s">
        <v>914</v>
      </c>
      <c r="C449" s="47">
        <v>1.0</v>
      </c>
      <c r="D449" s="48">
        <f t="shared" si="1"/>
        <v>0</v>
      </c>
      <c r="E449" s="49">
        <v>0.0</v>
      </c>
      <c r="F449" s="48">
        <f t="shared" si="64"/>
        <v>0</v>
      </c>
      <c r="G449" s="48">
        <f t="shared" si="65"/>
        <v>0</v>
      </c>
      <c r="H449" s="48">
        <f t="shared" si="2"/>
        <v>0</v>
      </c>
      <c r="I449" s="18">
        <f t="shared" si="39"/>
        <v>1</v>
      </c>
    </row>
    <row r="450" ht="15.75" customHeight="1">
      <c r="A450" s="45" t="s">
        <v>915</v>
      </c>
      <c r="B450" s="46"/>
      <c r="C450" s="47">
        <v>1.0</v>
      </c>
      <c r="D450" s="48">
        <f t="shared" si="1"/>
        <v>0</v>
      </c>
      <c r="E450" s="49">
        <v>0.0</v>
      </c>
      <c r="F450" s="48">
        <f t="shared" si="64"/>
        <v>0</v>
      </c>
      <c r="G450" s="48">
        <f t="shared" si="65"/>
        <v>0</v>
      </c>
      <c r="H450" s="48">
        <f t="shared" si="2"/>
        <v>0</v>
      </c>
      <c r="I450" s="18">
        <f t="shared" si="39"/>
        <v>0</v>
      </c>
    </row>
    <row r="451" ht="15.75" customHeight="1">
      <c r="A451" s="45" t="s">
        <v>916</v>
      </c>
      <c r="B451" s="46"/>
      <c r="C451" s="47">
        <v>1.0</v>
      </c>
      <c r="D451" s="48">
        <f t="shared" si="1"/>
        <v>0</v>
      </c>
      <c r="E451" s="49">
        <v>0.0</v>
      </c>
      <c r="F451" s="48">
        <f t="shared" si="64"/>
        <v>0</v>
      </c>
      <c r="G451" s="48">
        <f t="shared" si="65"/>
        <v>0</v>
      </c>
      <c r="H451" s="48">
        <f t="shared" si="2"/>
        <v>0</v>
      </c>
      <c r="I451" s="18">
        <f t="shared" si="39"/>
        <v>0</v>
      </c>
    </row>
    <row r="452" ht="15.75" customHeight="1">
      <c r="A452" s="45" t="s">
        <v>917</v>
      </c>
      <c r="B452" s="46"/>
      <c r="C452" s="47">
        <v>1.0</v>
      </c>
      <c r="D452" s="48">
        <f t="shared" si="1"/>
        <v>0</v>
      </c>
      <c r="E452" s="49">
        <v>0.0</v>
      </c>
      <c r="F452" s="48">
        <f t="shared" si="64"/>
        <v>0</v>
      </c>
      <c r="G452" s="48">
        <f t="shared" si="65"/>
        <v>0</v>
      </c>
      <c r="H452" s="48">
        <f t="shared" si="2"/>
        <v>0</v>
      </c>
      <c r="I452" s="18">
        <f t="shared" si="39"/>
        <v>0</v>
      </c>
    </row>
    <row r="453" ht="15.75" customHeight="1">
      <c r="A453" s="45" t="s">
        <v>918</v>
      </c>
      <c r="B453" s="46"/>
      <c r="C453" s="47">
        <v>1.0</v>
      </c>
      <c r="D453" s="48">
        <f t="shared" si="1"/>
        <v>0</v>
      </c>
      <c r="E453" s="49">
        <v>0.0</v>
      </c>
      <c r="F453" s="48">
        <f t="shared" si="64"/>
        <v>0</v>
      </c>
      <c r="G453" s="48">
        <f t="shared" si="65"/>
        <v>0</v>
      </c>
      <c r="H453" s="48">
        <f t="shared" si="2"/>
        <v>0</v>
      </c>
      <c r="I453" s="18">
        <f t="shared" si="39"/>
        <v>0</v>
      </c>
    </row>
    <row r="454" ht="15.75" customHeight="1">
      <c r="A454" s="45" t="s">
        <v>919</v>
      </c>
      <c r="B454" s="46"/>
      <c r="C454" s="47">
        <v>1.0</v>
      </c>
      <c r="D454" s="48">
        <f t="shared" si="1"/>
        <v>0</v>
      </c>
      <c r="E454" s="49">
        <v>0.0</v>
      </c>
      <c r="F454" s="48">
        <f t="shared" si="64"/>
        <v>0</v>
      </c>
      <c r="G454" s="48">
        <f t="shared" si="65"/>
        <v>0</v>
      </c>
      <c r="H454" s="48">
        <f t="shared" si="2"/>
        <v>0</v>
      </c>
      <c r="I454" s="18">
        <f t="shared" si="39"/>
        <v>0</v>
      </c>
    </row>
    <row r="455" ht="15.75" customHeight="1">
      <c r="A455" s="45" t="s">
        <v>920</v>
      </c>
      <c r="B455" s="46"/>
      <c r="C455" s="47">
        <v>1.0</v>
      </c>
      <c r="D455" s="48">
        <f t="shared" si="1"/>
        <v>0</v>
      </c>
      <c r="E455" s="49">
        <v>0.0</v>
      </c>
      <c r="F455" s="48">
        <f t="shared" si="64"/>
        <v>0</v>
      </c>
      <c r="G455" s="48">
        <f t="shared" si="65"/>
        <v>0</v>
      </c>
      <c r="H455" s="48">
        <f t="shared" si="2"/>
        <v>0</v>
      </c>
      <c r="I455" s="18">
        <f t="shared" si="39"/>
        <v>0</v>
      </c>
    </row>
    <row r="456" ht="15.75" customHeight="1">
      <c r="A456" s="45" t="s">
        <v>921</v>
      </c>
      <c r="B456" s="46"/>
      <c r="C456" s="47">
        <v>1.0</v>
      </c>
      <c r="D456" s="48">
        <f t="shared" si="1"/>
        <v>0</v>
      </c>
      <c r="E456" s="49">
        <v>0.0</v>
      </c>
      <c r="F456" s="48">
        <f t="shared" si="64"/>
        <v>0</v>
      </c>
      <c r="G456" s="48">
        <f t="shared" si="65"/>
        <v>0</v>
      </c>
      <c r="H456" s="48">
        <f t="shared" si="2"/>
        <v>0</v>
      </c>
      <c r="I456" s="18">
        <f t="shared" si="39"/>
        <v>0</v>
      </c>
    </row>
    <row r="457" ht="15.75" customHeight="1">
      <c r="A457" s="45" t="s">
        <v>922</v>
      </c>
      <c r="B457" s="46"/>
      <c r="C457" s="47">
        <v>1.0</v>
      </c>
      <c r="D457" s="48">
        <f t="shared" si="1"/>
        <v>0</v>
      </c>
      <c r="E457" s="49">
        <v>0.0</v>
      </c>
      <c r="F457" s="48">
        <f t="shared" si="64"/>
        <v>0</v>
      </c>
      <c r="G457" s="48">
        <f t="shared" si="65"/>
        <v>0</v>
      </c>
      <c r="H457" s="48">
        <f t="shared" si="2"/>
        <v>0</v>
      </c>
      <c r="I457" s="18">
        <f t="shared" si="39"/>
        <v>0</v>
      </c>
    </row>
    <row r="458" ht="15.75" customHeight="1">
      <c r="A458" s="45" t="s">
        <v>923</v>
      </c>
      <c r="B458" s="46"/>
      <c r="C458" s="47">
        <v>1.0</v>
      </c>
      <c r="D458" s="48">
        <f t="shared" si="1"/>
        <v>0</v>
      </c>
      <c r="E458" s="49">
        <v>0.0</v>
      </c>
      <c r="F458" s="48">
        <f t="shared" si="64"/>
        <v>0</v>
      </c>
      <c r="G458" s="48">
        <f t="shared" si="65"/>
        <v>0</v>
      </c>
      <c r="H458" s="48">
        <f t="shared" si="2"/>
        <v>0</v>
      </c>
      <c r="I458" s="18">
        <f t="shared" si="39"/>
        <v>0</v>
      </c>
    </row>
    <row r="459" ht="15.75" customHeight="1">
      <c r="A459" s="45" t="s">
        <v>924</v>
      </c>
      <c r="B459" s="46"/>
      <c r="C459" s="47">
        <v>1.0</v>
      </c>
      <c r="D459" s="48">
        <f t="shared" si="1"/>
        <v>0</v>
      </c>
      <c r="E459" s="49">
        <v>0.0</v>
      </c>
      <c r="F459" s="48">
        <f t="shared" si="64"/>
        <v>0</v>
      </c>
      <c r="G459" s="48">
        <f t="shared" si="65"/>
        <v>0</v>
      </c>
      <c r="H459" s="48">
        <f t="shared" si="2"/>
        <v>0</v>
      </c>
      <c r="I459" s="18">
        <f t="shared" si="39"/>
        <v>0</v>
      </c>
    </row>
    <row r="460" ht="15.75" customHeight="1">
      <c r="A460" s="45" t="s">
        <v>925</v>
      </c>
      <c r="B460" s="46"/>
      <c r="C460" s="47">
        <v>1.0</v>
      </c>
      <c r="D460" s="48">
        <f t="shared" si="1"/>
        <v>0</v>
      </c>
      <c r="E460" s="49">
        <v>0.0</v>
      </c>
      <c r="F460" s="48">
        <f t="shared" si="64"/>
        <v>0</v>
      </c>
      <c r="G460" s="48">
        <f t="shared" si="65"/>
        <v>0</v>
      </c>
      <c r="H460" s="48">
        <f t="shared" si="2"/>
        <v>0</v>
      </c>
      <c r="I460" s="18">
        <f t="shared" si="39"/>
        <v>0</v>
      </c>
    </row>
    <row r="461" ht="15.75" customHeight="1">
      <c r="A461" s="45" t="s">
        <v>926</v>
      </c>
      <c r="B461" s="46"/>
      <c r="C461" s="47">
        <v>1.0</v>
      </c>
      <c r="D461" s="48">
        <f t="shared" si="1"/>
        <v>0</v>
      </c>
      <c r="E461" s="49">
        <v>0.0</v>
      </c>
      <c r="F461" s="48">
        <f t="shared" si="64"/>
        <v>0</v>
      </c>
      <c r="G461" s="48">
        <f t="shared" si="65"/>
        <v>0</v>
      </c>
      <c r="H461" s="48">
        <f t="shared" si="2"/>
        <v>0</v>
      </c>
      <c r="I461" s="18">
        <f t="shared" si="39"/>
        <v>0</v>
      </c>
    </row>
    <row r="462" ht="15.75" customHeight="1">
      <c r="A462" s="45" t="s">
        <v>927</v>
      </c>
      <c r="B462" s="46"/>
      <c r="C462" s="47">
        <v>1.0</v>
      </c>
      <c r="D462" s="48">
        <f t="shared" si="1"/>
        <v>0</v>
      </c>
      <c r="E462" s="49">
        <v>0.0</v>
      </c>
      <c r="F462" s="48">
        <f t="shared" si="64"/>
        <v>0</v>
      </c>
      <c r="G462" s="48">
        <f t="shared" si="65"/>
        <v>0</v>
      </c>
      <c r="H462" s="48">
        <f t="shared" si="2"/>
        <v>0</v>
      </c>
      <c r="I462" s="18">
        <f t="shared" si="39"/>
        <v>0</v>
      </c>
    </row>
    <row r="463" ht="15.75" customHeight="1">
      <c r="A463" s="45" t="s">
        <v>928</v>
      </c>
      <c r="B463" s="46"/>
      <c r="C463" s="47">
        <v>1.0</v>
      </c>
      <c r="D463" s="48">
        <f t="shared" si="1"/>
        <v>0</v>
      </c>
      <c r="E463" s="49">
        <v>0.0</v>
      </c>
      <c r="F463" s="48">
        <f t="shared" si="64"/>
        <v>0</v>
      </c>
      <c r="G463" s="48">
        <f t="shared" si="65"/>
        <v>0</v>
      </c>
      <c r="H463" s="48">
        <f t="shared" si="2"/>
        <v>0</v>
      </c>
      <c r="I463" s="18">
        <f t="shared" si="39"/>
        <v>0</v>
      </c>
    </row>
    <row r="464" ht="15.75" customHeight="1">
      <c r="A464" s="45" t="s">
        <v>929</v>
      </c>
      <c r="B464" s="46"/>
      <c r="C464" s="47">
        <v>1.0</v>
      </c>
      <c r="D464" s="48">
        <f t="shared" si="1"/>
        <v>0</v>
      </c>
      <c r="E464" s="49">
        <v>0.0</v>
      </c>
      <c r="F464" s="48">
        <f t="shared" si="64"/>
        <v>0</v>
      </c>
      <c r="G464" s="48">
        <f t="shared" si="65"/>
        <v>0</v>
      </c>
      <c r="H464" s="48">
        <f t="shared" si="2"/>
        <v>0</v>
      </c>
      <c r="I464" s="18">
        <f t="shared" si="39"/>
        <v>0</v>
      </c>
    </row>
    <row r="465" ht="15.75" customHeight="1">
      <c r="A465" s="45" t="s">
        <v>930</v>
      </c>
      <c r="B465" s="46"/>
      <c r="C465" s="47">
        <v>1.0</v>
      </c>
      <c r="D465" s="48">
        <f t="shared" si="1"/>
        <v>0</v>
      </c>
      <c r="E465" s="49">
        <v>0.0</v>
      </c>
      <c r="F465" s="48">
        <f t="shared" si="64"/>
        <v>0</v>
      </c>
      <c r="G465" s="48">
        <f t="shared" si="65"/>
        <v>0</v>
      </c>
      <c r="H465" s="48">
        <f t="shared" si="2"/>
        <v>0</v>
      </c>
      <c r="I465" s="18">
        <f t="shared" si="39"/>
        <v>0</v>
      </c>
    </row>
    <row r="466" ht="15.75" customHeight="1">
      <c r="A466" s="45" t="s">
        <v>931</v>
      </c>
      <c r="B466" s="46"/>
      <c r="C466" s="47">
        <v>1.0</v>
      </c>
      <c r="D466" s="48">
        <f t="shared" si="1"/>
        <v>0</v>
      </c>
      <c r="E466" s="49">
        <v>0.0</v>
      </c>
      <c r="F466" s="48">
        <f t="shared" si="64"/>
        <v>0</v>
      </c>
      <c r="G466" s="48">
        <f t="shared" si="65"/>
        <v>0</v>
      </c>
      <c r="H466" s="48">
        <f t="shared" si="2"/>
        <v>0</v>
      </c>
      <c r="I466" s="18">
        <f t="shared" si="39"/>
        <v>0</v>
      </c>
    </row>
    <row r="467" ht="15.75" customHeight="1">
      <c r="A467" s="45" t="s">
        <v>932</v>
      </c>
      <c r="B467" s="46"/>
      <c r="C467" s="47">
        <v>1.0</v>
      </c>
      <c r="D467" s="48">
        <f t="shared" si="1"/>
        <v>0</v>
      </c>
      <c r="E467" s="49">
        <v>0.0</v>
      </c>
      <c r="F467" s="48">
        <f t="shared" si="64"/>
        <v>0</v>
      </c>
      <c r="G467" s="48">
        <f t="shared" si="65"/>
        <v>0</v>
      </c>
      <c r="H467" s="48">
        <f t="shared" si="2"/>
        <v>0</v>
      </c>
      <c r="I467" s="18">
        <f t="shared" si="39"/>
        <v>0</v>
      </c>
    </row>
    <row r="468" ht="15.75" customHeight="1">
      <c r="A468" s="45" t="s">
        <v>933</v>
      </c>
      <c r="B468" s="46"/>
      <c r="C468" s="47">
        <v>1.0</v>
      </c>
      <c r="D468" s="48">
        <f t="shared" si="1"/>
        <v>0</v>
      </c>
      <c r="E468" s="49">
        <v>0.0</v>
      </c>
      <c r="F468" s="48">
        <f t="shared" si="64"/>
        <v>0</v>
      </c>
      <c r="G468" s="48">
        <f t="shared" si="65"/>
        <v>0</v>
      </c>
      <c r="H468" s="48">
        <f t="shared" si="2"/>
        <v>0</v>
      </c>
      <c r="I468" s="18">
        <f t="shared" si="39"/>
        <v>0</v>
      </c>
    </row>
    <row r="469" ht="15.75" customHeight="1">
      <c r="A469" s="45" t="s">
        <v>934</v>
      </c>
      <c r="B469" s="46"/>
      <c r="C469" s="47">
        <v>1.0</v>
      </c>
      <c r="D469" s="48">
        <f t="shared" si="1"/>
        <v>0</v>
      </c>
      <c r="E469" s="49">
        <v>0.0</v>
      </c>
      <c r="F469" s="48">
        <f t="shared" si="64"/>
        <v>0</v>
      </c>
      <c r="G469" s="48">
        <f t="shared" si="65"/>
        <v>0</v>
      </c>
      <c r="H469" s="48">
        <f t="shared" si="2"/>
        <v>0</v>
      </c>
      <c r="I469" s="18">
        <f t="shared" si="39"/>
        <v>0</v>
      </c>
    </row>
    <row r="470" ht="15.75" customHeight="1">
      <c r="A470" s="45" t="s">
        <v>935</v>
      </c>
      <c r="B470" s="46"/>
      <c r="C470" s="47">
        <v>1.0</v>
      </c>
      <c r="D470" s="48">
        <f t="shared" si="1"/>
        <v>0</v>
      </c>
      <c r="E470" s="49">
        <v>0.0</v>
      </c>
      <c r="F470" s="48">
        <f t="shared" si="64"/>
        <v>0</v>
      </c>
      <c r="G470" s="48">
        <f t="shared" si="65"/>
        <v>0</v>
      </c>
      <c r="H470" s="48">
        <f t="shared" si="2"/>
        <v>0</v>
      </c>
      <c r="I470" s="18">
        <f t="shared" si="39"/>
        <v>0</v>
      </c>
    </row>
    <row r="471" ht="15.75" customHeight="1">
      <c r="A471" s="45" t="s">
        <v>936</v>
      </c>
      <c r="B471" s="46"/>
      <c r="C471" s="47">
        <v>1.0</v>
      </c>
      <c r="D471" s="48">
        <f t="shared" si="1"/>
        <v>0</v>
      </c>
      <c r="E471" s="49">
        <v>0.0</v>
      </c>
      <c r="F471" s="48">
        <f t="shared" si="64"/>
        <v>0</v>
      </c>
      <c r="G471" s="48">
        <f t="shared" si="65"/>
        <v>0</v>
      </c>
      <c r="H471" s="48">
        <f t="shared" si="2"/>
        <v>0</v>
      </c>
      <c r="I471" s="18">
        <f t="shared" si="39"/>
        <v>0</v>
      </c>
    </row>
    <row r="472" ht="15.75" customHeight="1">
      <c r="A472" s="45" t="s">
        <v>937</v>
      </c>
      <c r="B472" s="46"/>
      <c r="C472" s="47">
        <v>1.0</v>
      </c>
      <c r="D472" s="48">
        <f t="shared" si="1"/>
        <v>0</v>
      </c>
      <c r="E472" s="49">
        <v>0.0</v>
      </c>
      <c r="F472" s="48">
        <f t="shared" si="64"/>
        <v>0</v>
      </c>
      <c r="G472" s="48">
        <f t="shared" si="65"/>
        <v>0</v>
      </c>
      <c r="H472" s="48">
        <f t="shared" si="2"/>
        <v>0</v>
      </c>
      <c r="I472" s="18">
        <f t="shared" si="39"/>
        <v>0</v>
      </c>
    </row>
    <row r="473" ht="15.75" customHeight="1">
      <c r="A473" s="45" t="s">
        <v>938</v>
      </c>
      <c r="B473" s="46"/>
      <c r="C473" s="47">
        <v>1.0</v>
      </c>
      <c r="D473" s="48">
        <f t="shared" si="1"/>
        <v>0</v>
      </c>
      <c r="E473" s="49">
        <v>0.0</v>
      </c>
      <c r="F473" s="48">
        <f t="shared" si="64"/>
        <v>0</v>
      </c>
      <c r="G473" s="48">
        <f t="shared" si="65"/>
        <v>0</v>
      </c>
      <c r="H473" s="48">
        <f t="shared" si="2"/>
        <v>0</v>
      </c>
      <c r="I473" s="18">
        <f t="shared" si="39"/>
        <v>0</v>
      </c>
    </row>
    <row r="474" ht="15.75" customHeight="1">
      <c r="A474" s="45" t="s">
        <v>939</v>
      </c>
      <c r="B474" s="46"/>
      <c r="C474" s="47">
        <v>1.0</v>
      </c>
      <c r="D474" s="48">
        <f t="shared" si="1"/>
        <v>0</v>
      </c>
      <c r="E474" s="49">
        <v>0.0</v>
      </c>
      <c r="F474" s="48">
        <f t="shared" si="64"/>
        <v>0</v>
      </c>
      <c r="G474" s="48">
        <f t="shared" si="65"/>
        <v>0</v>
      </c>
      <c r="H474" s="48">
        <f t="shared" si="2"/>
        <v>0</v>
      </c>
      <c r="I474" s="18">
        <f t="shared" si="39"/>
        <v>0</v>
      </c>
    </row>
    <row r="475" ht="15.75" customHeight="1">
      <c r="A475" s="45" t="s">
        <v>940</v>
      </c>
      <c r="B475" s="46"/>
      <c r="C475" s="47">
        <v>1.0</v>
      </c>
      <c r="D475" s="48">
        <f t="shared" si="1"/>
        <v>0</v>
      </c>
      <c r="E475" s="49">
        <v>0.0</v>
      </c>
      <c r="F475" s="48">
        <f t="shared" si="64"/>
        <v>0</v>
      </c>
      <c r="G475" s="48">
        <f t="shared" si="65"/>
        <v>0</v>
      </c>
      <c r="H475" s="48">
        <f t="shared" si="2"/>
        <v>0</v>
      </c>
      <c r="I475" s="18">
        <f t="shared" si="39"/>
        <v>0</v>
      </c>
    </row>
    <row r="476" ht="15.75" customHeight="1">
      <c r="A476" s="45" t="s">
        <v>941</v>
      </c>
      <c r="B476" s="46"/>
      <c r="C476" s="47">
        <v>1.0</v>
      </c>
      <c r="D476" s="48">
        <f t="shared" si="1"/>
        <v>0</v>
      </c>
      <c r="E476" s="49">
        <v>0.0</v>
      </c>
      <c r="F476" s="48">
        <f t="shared" si="64"/>
        <v>0</v>
      </c>
      <c r="G476" s="48">
        <f t="shared" si="65"/>
        <v>0</v>
      </c>
      <c r="H476" s="48">
        <f t="shared" si="2"/>
        <v>0</v>
      </c>
      <c r="I476" s="18">
        <f t="shared" si="39"/>
        <v>0</v>
      </c>
    </row>
    <row r="477" ht="15.75" customHeight="1">
      <c r="A477" s="45" t="s">
        <v>942</v>
      </c>
      <c r="B477" s="46"/>
      <c r="C477" s="47">
        <v>1.0</v>
      </c>
      <c r="D477" s="48">
        <f t="shared" si="1"/>
        <v>0</v>
      </c>
      <c r="E477" s="49">
        <v>0.0</v>
      </c>
      <c r="F477" s="48">
        <f t="shared" si="64"/>
        <v>0</v>
      </c>
      <c r="G477" s="48">
        <f t="shared" si="65"/>
        <v>0</v>
      </c>
      <c r="H477" s="48">
        <f t="shared" si="2"/>
        <v>0</v>
      </c>
      <c r="I477" s="18">
        <f t="shared" si="39"/>
        <v>0</v>
      </c>
    </row>
    <row r="478" ht="15.75" customHeight="1">
      <c r="A478" s="45" t="s">
        <v>943</v>
      </c>
      <c r="B478" s="46"/>
      <c r="C478" s="47">
        <v>1.0</v>
      </c>
      <c r="D478" s="48">
        <f t="shared" si="1"/>
        <v>0</v>
      </c>
      <c r="E478" s="49">
        <v>0.0</v>
      </c>
      <c r="F478" s="48">
        <f t="shared" si="64"/>
        <v>0</v>
      </c>
      <c r="G478" s="48">
        <f t="shared" si="65"/>
        <v>0</v>
      </c>
      <c r="H478" s="48">
        <f t="shared" si="2"/>
        <v>0</v>
      </c>
      <c r="I478" s="18">
        <f t="shared" si="39"/>
        <v>0</v>
      </c>
    </row>
    <row r="479" ht="15.75" customHeight="1">
      <c r="A479" s="45" t="s">
        <v>944</v>
      </c>
      <c r="B479" s="46"/>
      <c r="C479" s="47">
        <v>1.0</v>
      </c>
      <c r="D479" s="48">
        <f t="shared" si="1"/>
        <v>0</v>
      </c>
      <c r="E479" s="49">
        <v>0.0</v>
      </c>
      <c r="F479" s="48">
        <f t="shared" si="64"/>
        <v>0</v>
      </c>
      <c r="G479" s="48">
        <f t="shared" si="65"/>
        <v>0</v>
      </c>
      <c r="H479" s="48">
        <f t="shared" si="2"/>
        <v>0</v>
      </c>
      <c r="I479" s="18">
        <f t="shared" si="39"/>
        <v>0</v>
      </c>
    </row>
    <row r="480" ht="15.75" customHeight="1">
      <c r="A480" s="45" t="s">
        <v>945</v>
      </c>
      <c r="B480" s="46"/>
      <c r="C480" s="47">
        <v>1.0</v>
      </c>
      <c r="D480" s="48">
        <f t="shared" si="1"/>
        <v>0</v>
      </c>
      <c r="E480" s="49">
        <v>0.0</v>
      </c>
      <c r="F480" s="48">
        <f t="shared" si="64"/>
        <v>0</v>
      </c>
      <c r="G480" s="48">
        <f t="shared" si="65"/>
        <v>0</v>
      </c>
      <c r="H480" s="48">
        <f t="shared" si="2"/>
        <v>0</v>
      </c>
      <c r="I480" s="18">
        <f t="shared" si="39"/>
        <v>0</v>
      </c>
    </row>
    <row r="481" ht="15.75" customHeight="1">
      <c r="A481" s="45" t="s">
        <v>946</v>
      </c>
      <c r="B481" s="46"/>
      <c r="C481" s="47">
        <v>1.0</v>
      </c>
      <c r="D481" s="48">
        <f t="shared" si="1"/>
        <v>0</v>
      </c>
      <c r="E481" s="49">
        <v>0.0</v>
      </c>
      <c r="F481" s="48">
        <f t="shared" si="64"/>
        <v>0</v>
      </c>
      <c r="G481" s="48">
        <f t="shared" si="65"/>
        <v>0</v>
      </c>
      <c r="H481" s="48">
        <f t="shared" si="2"/>
        <v>0</v>
      </c>
      <c r="I481" s="18">
        <f t="shared" si="39"/>
        <v>0</v>
      </c>
    </row>
    <row r="482" ht="15.75" customHeight="1">
      <c r="A482" s="45" t="s">
        <v>947</v>
      </c>
      <c r="B482" s="46"/>
      <c r="C482" s="47">
        <v>1.0</v>
      </c>
      <c r="D482" s="48">
        <f t="shared" si="1"/>
        <v>0</v>
      </c>
      <c r="E482" s="49">
        <v>0.0</v>
      </c>
      <c r="F482" s="48">
        <f t="shared" si="64"/>
        <v>0</v>
      </c>
      <c r="G482" s="48">
        <f t="shared" si="65"/>
        <v>0</v>
      </c>
      <c r="H482" s="48">
        <f t="shared" si="2"/>
        <v>0</v>
      </c>
      <c r="I482" s="18">
        <f t="shared" si="39"/>
        <v>0</v>
      </c>
    </row>
    <row r="483" ht="15.75" customHeight="1">
      <c r="A483" s="45" t="s">
        <v>948</v>
      </c>
      <c r="B483" s="46"/>
      <c r="C483" s="47">
        <v>1.0</v>
      </c>
      <c r="D483" s="48">
        <f t="shared" si="1"/>
        <v>0</v>
      </c>
      <c r="E483" s="49">
        <v>0.0</v>
      </c>
      <c r="F483" s="48">
        <f t="shared" si="64"/>
        <v>0</v>
      </c>
      <c r="G483" s="48">
        <f t="shared" si="65"/>
        <v>0</v>
      </c>
      <c r="H483" s="48">
        <f t="shared" si="2"/>
        <v>0</v>
      </c>
      <c r="I483" s="18">
        <f t="shared" si="39"/>
        <v>0</v>
      </c>
    </row>
    <row r="484" ht="15.75" customHeight="1">
      <c r="A484" s="45" t="s">
        <v>949</v>
      </c>
      <c r="B484" s="46"/>
      <c r="C484" s="47">
        <v>1.0</v>
      </c>
      <c r="D484" s="48">
        <f t="shared" si="1"/>
        <v>0</v>
      </c>
      <c r="E484" s="49">
        <v>0.0</v>
      </c>
      <c r="F484" s="48">
        <f t="shared" si="64"/>
        <v>0</v>
      </c>
      <c r="G484" s="48">
        <f t="shared" si="65"/>
        <v>0</v>
      </c>
      <c r="H484" s="48">
        <f t="shared" si="2"/>
        <v>0</v>
      </c>
      <c r="I484" s="18">
        <f t="shared" si="39"/>
        <v>0</v>
      </c>
    </row>
    <row r="485" ht="15.75" customHeight="1">
      <c r="A485" s="45" t="s">
        <v>950</v>
      </c>
      <c r="B485" s="46"/>
      <c r="C485" s="47">
        <v>1.0</v>
      </c>
      <c r="D485" s="48">
        <f t="shared" si="1"/>
        <v>0</v>
      </c>
      <c r="E485" s="49">
        <v>0.0</v>
      </c>
      <c r="F485" s="48">
        <f t="shared" si="64"/>
        <v>0</v>
      </c>
      <c r="G485" s="48">
        <f t="shared" si="65"/>
        <v>0</v>
      </c>
      <c r="H485" s="48">
        <f t="shared" si="2"/>
        <v>0</v>
      </c>
      <c r="I485" s="18">
        <f t="shared" si="39"/>
        <v>0</v>
      </c>
    </row>
    <row r="486" ht="15.75" customHeight="1">
      <c r="A486" s="45" t="s">
        <v>951</v>
      </c>
      <c r="B486" s="46"/>
      <c r="C486" s="47">
        <v>1.0</v>
      </c>
      <c r="D486" s="48">
        <f t="shared" si="1"/>
        <v>0</v>
      </c>
      <c r="E486" s="49">
        <v>0.0</v>
      </c>
      <c r="F486" s="48">
        <f t="shared" si="64"/>
        <v>0</v>
      </c>
      <c r="G486" s="48">
        <f t="shared" si="65"/>
        <v>0</v>
      </c>
      <c r="H486" s="48">
        <f t="shared" si="2"/>
        <v>0</v>
      </c>
      <c r="I486" s="18">
        <f t="shared" si="39"/>
        <v>0</v>
      </c>
    </row>
    <row r="487" ht="15.75" customHeight="1">
      <c r="A487" s="45" t="s">
        <v>952</v>
      </c>
      <c r="B487" s="46"/>
      <c r="C487" s="47">
        <v>1.0</v>
      </c>
      <c r="D487" s="48">
        <f t="shared" si="1"/>
        <v>0</v>
      </c>
      <c r="E487" s="49">
        <v>0.0</v>
      </c>
      <c r="F487" s="48">
        <f t="shared" si="64"/>
        <v>0</v>
      </c>
      <c r="G487" s="48">
        <f t="shared" si="65"/>
        <v>0</v>
      </c>
      <c r="H487" s="48">
        <f t="shared" si="2"/>
        <v>0</v>
      </c>
      <c r="I487" s="18">
        <f t="shared" si="39"/>
        <v>0</v>
      </c>
    </row>
    <row r="488" ht="15.75" customHeight="1">
      <c r="A488" s="45" t="s">
        <v>953</v>
      </c>
      <c r="B488" s="46"/>
      <c r="C488" s="47">
        <v>1.0</v>
      </c>
      <c r="D488" s="48">
        <f t="shared" si="1"/>
        <v>0</v>
      </c>
      <c r="E488" s="49">
        <v>0.0</v>
      </c>
      <c r="F488" s="48">
        <f t="shared" si="64"/>
        <v>0</v>
      </c>
      <c r="G488" s="48">
        <f t="shared" si="65"/>
        <v>0</v>
      </c>
      <c r="H488" s="48">
        <f t="shared" si="2"/>
        <v>0</v>
      </c>
      <c r="I488" s="18">
        <f t="shared" si="39"/>
        <v>0</v>
      </c>
    </row>
    <row r="489" ht="15.75" customHeight="1">
      <c r="A489" s="45" t="s">
        <v>954</v>
      </c>
      <c r="B489" s="46"/>
      <c r="C489" s="47">
        <v>1.0</v>
      </c>
      <c r="D489" s="48">
        <f t="shared" si="1"/>
        <v>0</v>
      </c>
      <c r="E489" s="49">
        <v>0.0</v>
      </c>
      <c r="F489" s="48">
        <f t="shared" si="64"/>
        <v>0</v>
      </c>
      <c r="G489" s="48">
        <f t="shared" si="65"/>
        <v>0</v>
      </c>
      <c r="H489" s="48">
        <f t="shared" si="2"/>
        <v>0</v>
      </c>
      <c r="I489" s="18">
        <f t="shared" si="39"/>
        <v>0</v>
      </c>
    </row>
    <row r="490" ht="15.75" customHeight="1">
      <c r="A490" s="45" t="s">
        <v>955</v>
      </c>
      <c r="B490" s="46"/>
      <c r="C490" s="47">
        <v>1.0</v>
      </c>
      <c r="D490" s="48">
        <f t="shared" si="1"/>
        <v>0</v>
      </c>
      <c r="E490" s="49">
        <v>0.0</v>
      </c>
      <c r="F490" s="48">
        <f t="shared" si="64"/>
        <v>0</v>
      </c>
      <c r="G490" s="48">
        <f t="shared" si="65"/>
        <v>0</v>
      </c>
      <c r="H490" s="48">
        <f t="shared" si="2"/>
        <v>0</v>
      </c>
      <c r="I490" s="18">
        <f t="shared" si="39"/>
        <v>0</v>
      </c>
    </row>
    <row r="491" ht="15.75" customHeight="1">
      <c r="A491" s="45" t="s">
        <v>956</v>
      </c>
      <c r="B491" s="46"/>
      <c r="C491" s="47">
        <v>1.0</v>
      </c>
      <c r="D491" s="48">
        <f t="shared" si="1"/>
        <v>0</v>
      </c>
      <c r="E491" s="49">
        <v>0.0</v>
      </c>
      <c r="F491" s="48">
        <f t="shared" si="64"/>
        <v>0</v>
      </c>
      <c r="G491" s="48">
        <f t="shared" si="65"/>
        <v>0</v>
      </c>
      <c r="H491" s="48">
        <f t="shared" si="2"/>
        <v>0</v>
      </c>
      <c r="I491" s="18">
        <f t="shared" si="39"/>
        <v>0</v>
      </c>
    </row>
    <row r="492" ht="15.75" customHeight="1">
      <c r="A492" s="45" t="s">
        <v>957</v>
      </c>
      <c r="B492" s="46"/>
      <c r="C492" s="47">
        <v>1.0</v>
      </c>
      <c r="D492" s="48">
        <f t="shared" si="1"/>
        <v>0</v>
      </c>
      <c r="E492" s="49">
        <v>0.0</v>
      </c>
      <c r="F492" s="48">
        <f t="shared" si="64"/>
        <v>0</v>
      </c>
      <c r="G492" s="48">
        <f t="shared" si="65"/>
        <v>0</v>
      </c>
      <c r="H492" s="48">
        <f t="shared" si="2"/>
        <v>0</v>
      </c>
      <c r="I492" s="18">
        <f t="shared" si="39"/>
        <v>0</v>
      </c>
    </row>
    <row r="493" ht="15.75" customHeight="1">
      <c r="A493" s="45" t="s">
        <v>958</v>
      </c>
      <c r="B493" s="46"/>
      <c r="C493" s="47">
        <v>1.0</v>
      </c>
      <c r="D493" s="48">
        <f t="shared" si="1"/>
        <v>0</v>
      </c>
      <c r="E493" s="49">
        <v>0.0</v>
      </c>
      <c r="F493" s="48">
        <f t="shared" si="64"/>
        <v>0</v>
      </c>
      <c r="G493" s="48">
        <f t="shared" si="65"/>
        <v>0</v>
      </c>
      <c r="H493" s="48">
        <f t="shared" si="2"/>
        <v>0</v>
      </c>
      <c r="I493" s="18">
        <f t="shared" si="39"/>
        <v>0</v>
      </c>
    </row>
    <row r="494" ht="15.75" customHeight="1">
      <c r="A494" s="45" t="s">
        <v>959</v>
      </c>
      <c r="B494" s="46"/>
      <c r="C494" s="47">
        <v>1.0</v>
      </c>
      <c r="D494" s="48">
        <f t="shared" si="1"/>
        <v>0</v>
      </c>
      <c r="E494" s="49">
        <v>0.0</v>
      </c>
      <c r="F494" s="48">
        <f t="shared" si="64"/>
        <v>0</v>
      </c>
      <c r="G494" s="48">
        <f t="shared" si="65"/>
        <v>0</v>
      </c>
      <c r="H494" s="48">
        <f t="shared" si="2"/>
        <v>0</v>
      </c>
      <c r="I494" s="18">
        <f t="shared" si="39"/>
        <v>0</v>
      </c>
    </row>
    <row r="495" ht="15.75" customHeight="1">
      <c r="A495" s="45" t="s">
        <v>960</v>
      </c>
      <c r="B495" s="46"/>
      <c r="C495" s="47">
        <v>1.0</v>
      </c>
      <c r="D495" s="48">
        <f t="shared" si="1"/>
        <v>0</v>
      </c>
      <c r="E495" s="49">
        <v>0.0</v>
      </c>
      <c r="F495" s="48">
        <f t="shared" si="64"/>
        <v>0</v>
      </c>
      <c r="G495" s="48">
        <f t="shared" si="65"/>
        <v>0</v>
      </c>
      <c r="H495" s="48">
        <f t="shared" si="2"/>
        <v>0</v>
      </c>
      <c r="I495" s="18">
        <f t="shared" si="39"/>
        <v>0</v>
      </c>
    </row>
    <row r="496" ht="15.75" customHeight="1">
      <c r="A496" s="45" t="s">
        <v>961</v>
      </c>
      <c r="B496" s="46"/>
      <c r="C496" s="47">
        <v>1.0</v>
      </c>
      <c r="D496" s="48">
        <f t="shared" si="1"/>
        <v>0</v>
      </c>
      <c r="E496" s="49">
        <v>0.0</v>
      </c>
      <c r="F496" s="48">
        <f t="shared" si="64"/>
        <v>0</v>
      </c>
      <c r="G496" s="48">
        <f t="shared" si="65"/>
        <v>0</v>
      </c>
      <c r="H496" s="48">
        <f t="shared" si="2"/>
        <v>0</v>
      </c>
      <c r="I496" s="18">
        <f t="shared" si="39"/>
        <v>0</v>
      </c>
    </row>
    <row r="497" ht="15.75" customHeight="1">
      <c r="A497" s="45" t="s">
        <v>962</v>
      </c>
      <c r="B497" s="46"/>
      <c r="C497" s="47">
        <v>1.0</v>
      </c>
      <c r="D497" s="48">
        <f t="shared" si="1"/>
        <v>0</v>
      </c>
      <c r="E497" s="49">
        <v>0.0</v>
      </c>
      <c r="F497" s="48">
        <f t="shared" si="64"/>
        <v>0</v>
      </c>
      <c r="G497" s="48">
        <f t="shared" si="65"/>
        <v>0</v>
      </c>
      <c r="H497" s="48">
        <f t="shared" si="2"/>
        <v>0</v>
      </c>
      <c r="I497" s="18">
        <f t="shared" si="39"/>
        <v>0</v>
      </c>
    </row>
    <row r="498" ht="15.75" customHeight="1">
      <c r="A498" s="45" t="s">
        <v>963</v>
      </c>
      <c r="B498" s="46"/>
      <c r="C498" s="47">
        <v>1.0</v>
      </c>
      <c r="D498" s="48">
        <f t="shared" si="1"/>
        <v>0</v>
      </c>
      <c r="E498" s="49">
        <v>0.0</v>
      </c>
      <c r="F498" s="48">
        <f t="shared" si="64"/>
        <v>0</v>
      </c>
      <c r="G498" s="48">
        <f t="shared" si="65"/>
        <v>0</v>
      </c>
      <c r="H498" s="48">
        <f t="shared" si="2"/>
        <v>0</v>
      </c>
      <c r="I498" s="18">
        <f t="shared" si="39"/>
        <v>0</v>
      </c>
    </row>
    <row r="499" ht="15.75" customHeight="1">
      <c r="A499" s="45" t="s">
        <v>964</v>
      </c>
      <c r="B499" s="46"/>
      <c r="C499" s="47">
        <v>1.0</v>
      </c>
      <c r="D499" s="48">
        <f t="shared" si="1"/>
        <v>0</v>
      </c>
      <c r="E499" s="49">
        <v>0.0</v>
      </c>
      <c r="F499" s="48">
        <f t="shared" si="64"/>
        <v>0</v>
      </c>
      <c r="G499" s="48">
        <f t="shared" si="65"/>
        <v>0</v>
      </c>
      <c r="H499" s="48">
        <f t="shared" si="2"/>
        <v>0</v>
      </c>
      <c r="I499" s="18">
        <f t="shared" si="39"/>
        <v>0</v>
      </c>
    </row>
    <row r="500" ht="15.75" customHeight="1">
      <c r="A500" s="45" t="s">
        <v>965</v>
      </c>
      <c r="B500" s="46"/>
      <c r="C500" s="47">
        <v>1.0</v>
      </c>
      <c r="D500" s="48">
        <f t="shared" si="1"/>
        <v>0</v>
      </c>
      <c r="E500" s="49">
        <v>0.0</v>
      </c>
      <c r="F500" s="48">
        <f t="shared" si="64"/>
        <v>0</v>
      </c>
      <c r="G500" s="48">
        <f t="shared" si="65"/>
        <v>0</v>
      </c>
      <c r="H500" s="48">
        <f t="shared" si="2"/>
        <v>0</v>
      </c>
      <c r="I500" s="18">
        <f t="shared" si="39"/>
        <v>0</v>
      </c>
    </row>
    <row r="501" ht="15.75" customHeight="1">
      <c r="A501" s="45" t="s">
        <v>966</v>
      </c>
      <c r="B501" s="46"/>
      <c r="C501" s="47">
        <v>1.0</v>
      </c>
      <c r="D501" s="48">
        <f t="shared" si="1"/>
        <v>0</v>
      </c>
      <c r="E501" s="49">
        <v>0.0</v>
      </c>
      <c r="F501" s="48">
        <f t="shared" si="64"/>
        <v>0</v>
      </c>
      <c r="G501" s="48">
        <f t="shared" si="65"/>
        <v>0</v>
      </c>
      <c r="H501" s="48">
        <f t="shared" si="2"/>
        <v>0</v>
      </c>
      <c r="I501" s="18">
        <f t="shared" si="39"/>
        <v>0</v>
      </c>
    </row>
    <row r="502" ht="15.75" customHeight="1">
      <c r="A502" s="45" t="s">
        <v>967</v>
      </c>
      <c r="B502" s="46"/>
      <c r="C502" s="47">
        <v>1.0</v>
      </c>
      <c r="D502" s="48">
        <f t="shared" si="1"/>
        <v>0</v>
      </c>
      <c r="E502" s="49">
        <v>0.0</v>
      </c>
      <c r="F502" s="48">
        <f t="shared" si="64"/>
        <v>0</v>
      </c>
      <c r="G502" s="48">
        <f t="shared" si="65"/>
        <v>0</v>
      </c>
      <c r="H502" s="48">
        <f t="shared" si="2"/>
        <v>0</v>
      </c>
      <c r="I502" s="18">
        <f t="shared" si="39"/>
        <v>0</v>
      </c>
    </row>
    <row r="503" ht="15.75" customHeight="1">
      <c r="A503" s="45" t="s">
        <v>968</v>
      </c>
      <c r="B503" s="46"/>
      <c r="C503" s="47">
        <v>1.0</v>
      </c>
      <c r="D503" s="48">
        <f t="shared" si="1"/>
        <v>0</v>
      </c>
      <c r="E503" s="49">
        <v>0.0</v>
      </c>
      <c r="F503" s="48">
        <f t="shared" si="64"/>
        <v>0</v>
      </c>
      <c r="G503" s="48">
        <f t="shared" si="65"/>
        <v>0</v>
      </c>
      <c r="H503" s="48">
        <f t="shared" si="2"/>
        <v>0</v>
      </c>
      <c r="I503" s="18">
        <f t="shared" si="39"/>
        <v>0</v>
      </c>
    </row>
    <row r="504" ht="15.75" customHeight="1">
      <c r="A504" s="45" t="s">
        <v>969</v>
      </c>
      <c r="B504" s="46"/>
      <c r="C504" s="47">
        <v>1.0</v>
      </c>
      <c r="D504" s="48">
        <f t="shared" si="1"/>
        <v>0</v>
      </c>
      <c r="E504" s="49">
        <v>0.0</v>
      </c>
      <c r="F504" s="48">
        <f t="shared" si="64"/>
        <v>0</v>
      </c>
      <c r="G504" s="48">
        <f t="shared" si="65"/>
        <v>0</v>
      </c>
      <c r="H504" s="48">
        <f t="shared" si="2"/>
        <v>0</v>
      </c>
      <c r="I504" s="18">
        <f t="shared" si="39"/>
        <v>0</v>
      </c>
    </row>
    <row r="505" ht="15.75" customHeight="1">
      <c r="A505" s="45" t="s">
        <v>970</v>
      </c>
      <c r="B505" s="46"/>
      <c r="C505" s="47">
        <v>1.0</v>
      </c>
      <c r="D505" s="48">
        <f t="shared" si="1"/>
        <v>0</v>
      </c>
      <c r="E505" s="49">
        <v>0.0</v>
      </c>
      <c r="F505" s="48">
        <f t="shared" si="64"/>
        <v>0</v>
      </c>
      <c r="G505" s="48">
        <f t="shared" si="65"/>
        <v>0</v>
      </c>
      <c r="H505" s="48">
        <f t="shared" si="2"/>
        <v>0</v>
      </c>
      <c r="I505" s="18">
        <f t="shared" si="39"/>
        <v>0</v>
      </c>
    </row>
    <row r="506" ht="15.75" customHeight="1">
      <c r="A506" s="45" t="s">
        <v>971</v>
      </c>
      <c r="B506" s="46"/>
      <c r="C506" s="47">
        <v>1.0</v>
      </c>
      <c r="D506" s="48">
        <f t="shared" si="1"/>
        <v>0</v>
      </c>
      <c r="E506" s="49">
        <v>0.0</v>
      </c>
      <c r="F506" s="48">
        <f t="shared" si="64"/>
        <v>0</v>
      </c>
      <c r="G506" s="48">
        <f t="shared" si="65"/>
        <v>0</v>
      </c>
      <c r="H506" s="48">
        <f t="shared" si="2"/>
        <v>0</v>
      </c>
      <c r="I506" s="18">
        <f t="shared" si="39"/>
        <v>0</v>
      </c>
    </row>
    <row r="507" ht="15.75" customHeight="1">
      <c r="A507" s="45" t="s">
        <v>972</v>
      </c>
      <c r="B507" s="46"/>
      <c r="C507" s="47">
        <v>1.0</v>
      </c>
      <c r="D507" s="48">
        <f t="shared" si="1"/>
        <v>0</v>
      </c>
      <c r="E507" s="49">
        <v>0.0</v>
      </c>
      <c r="F507" s="48">
        <f t="shared" si="64"/>
        <v>0</v>
      </c>
      <c r="G507" s="48">
        <f t="shared" si="65"/>
        <v>0</v>
      </c>
      <c r="H507" s="48">
        <f t="shared" si="2"/>
        <v>0</v>
      </c>
      <c r="I507" s="18">
        <f t="shared" si="39"/>
        <v>0</v>
      </c>
    </row>
    <row r="508" ht="15.75" customHeight="1">
      <c r="A508" s="45" t="s">
        <v>973</v>
      </c>
      <c r="B508" s="46"/>
      <c r="C508" s="47">
        <v>1.0</v>
      </c>
      <c r="D508" s="48">
        <f t="shared" si="1"/>
        <v>0</v>
      </c>
      <c r="E508" s="49">
        <v>0.0</v>
      </c>
      <c r="F508" s="48">
        <f t="shared" si="64"/>
        <v>0</v>
      </c>
      <c r="G508" s="48">
        <f t="shared" si="65"/>
        <v>0</v>
      </c>
      <c r="H508" s="48">
        <f t="shared" si="2"/>
        <v>0</v>
      </c>
      <c r="I508" s="18">
        <f t="shared" si="39"/>
        <v>0</v>
      </c>
    </row>
    <row r="509" ht="15.75" customHeight="1">
      <c r="A509" s="45" t="s">
        <v>974</v>
      </c>
      <c r="B509" s="46"/>
      <c r="C509" s="47">
        <v>1.0</v>
      </c>
      <c r="D509" s="48">
        <f t="shared" si="1"/>
        <v>0</v>
      </c>
      <c r="E509" s="49">
        <v>0.0</v>
      </c>
      <c r="F509" s="48">
        <f t="shared" si="64"/>
        <v>0</v>
      </c>
      <c r="G509" s="48">
        <f t="shared" si="65"/>
        <v>0</v>
      </c>
      <c r="H509" s="48">
        <f t="shared" si="2"/>
        <v>0</v>
      </c>
      <c r="I509" s="18">
        <f t="shared" si="39"/>
        <v>0</v>
      </c>
    </row>
    <row r="510" ht="15.75" customHeight="1">
      <c r="A510" s="45" t="s">
        <v>975</v>
      </c>
      <c r="B510" s="46"/>
      <c r="C510" s="47">
        <v>1.0</v>
      </c>
      <c r="D510" s="48">
        <f t="shared" si="1"/>
        <v>0</v>
      </c>
      <c r="E510" s="49">
        <v>0.0</v>
      </c>
      <c r="F510" s="48">
        <f t="shared" si="64"/>
        <v>0</v>
      </c>
      <c r="G510" s="48">
        <f t="shared" si="65"/>
        <v>0</v>
      </c>
      <c r="H510" s="48">
        <f t="shared" si="2"/>
        <v>0</v>
      </c>
      <c r="I510" s="18">
        <f t="shared" si="39"/>
        <v>0</v>
      </c>
    </row>
    <row r="511" ht="15.75" customHeight="1">
      <c r="A511" s="45" t="s">
        <v>976</v>
      </c>
      <c r="B511" s="46"/>
      <c r="C511" s="47">
        <v>1.0</v>
      </c>
      <c r="D511" s="48">
        <f t="shared" si="1"/>
        <v>0</v>
      </c>
      <c r="E511" s="49">
        <v>0.0</v>
      </c>
      <c r="F511" s="48">
        <f t="shared" si="64"/>
        <v>0</v>
      </c>
      <c r="G511" s="48">
        <f t="shared" si="65"/>
        <v>0</v>
      </c>
      <c r="H511" s="48">
        <f t="shared" si="2"/>
        <v>0</v>
      </c>
      <c r="I511" s="18">
        <f t="shared" si="39"/>
        <v>0</v>
      </c>
    </row>
    <row r="512" ht="15.75" customHeight="1">
      <c r="A512" s="45" t="s">
        <v>977</v>
      </c>
      <c r="B512" s="46"/>
      <c r="C512" s="47">
        <v>1.0</v>
      </c>
      <c r="D512" s="48">
        <f t="shared" si="1"/>
        <v>0</v>
      </c>
      <c r="E512" s="49">
        <v>0.0</v>
      </c>
      <c r="F512" s="48">
        <f t="shared" si="64"/>
        <v>0</v>
      </c>
      <c r="G512" s="48">
        <f t="shared" si="65"/>
        <v>0</v>
      </c>
      <c r="H512" s="48">
        <f t="shared" si="2"/>
        <v>0</v>
      </c>
      <c r="I512" s="18">
        <f t="shared" si="39"/>
        <v>0</v>
      </c>
    </row>
    <row r="513" ht="15.75" customHeight="1">
      <c r="A513" s="45" t="s">
        <v>978</v>
      </c>
      <c r="B513" s="46"/>
      <c r="C513" s="47">
        <v>1.0</v>
      </c>
      <c r="D513" s="48">
        <f t="shared" si="1"/>
        <v>0</v>
      </c>
      <c r="E513" s="49">
        <v>0.0</v>
      </c>
      <c r="F513" s="48">
        <f t="shared" si="64"/>
        <v>0</v>
      </c>
      <c r="G513" s="48">
        <f t="shared" si="65"/>
        <v>0</v>
      </c>
      <c r="H513" s="48">
        <f t="shared" si="2"/>
        <v>0</v>
      </c>
      <c r="I513" s="18">
        <f t="shared" si="39"/>
        <v>0</v>
      </c>
    </row>
    <row r="514" ht="15.75" customHeight="1">
      <c r="A514" s="45" t="s">
        <v>979</v>
      </c>
      <c r="B514" s="46"/>
      <c r="C514" s="47">
        <v>1.0</v>
      </c>
      <c r="D514" s="48">
        <f t="shared" si="1"/>
        <v>0</v>
      </c>
      <c r="E514" s="49">
        <v>0.0</v>
      </c>
      <c r="F514" s="48">
        <f t="shared" si="64"/>
        <v>0</v>
      </c>
      <c r="G514" s="48">
        <f t="shared" si="65"/>
        <v>0</v>
      </c>
      <c r="H514" s="48">
        <f t="shared" si="2"/>
        <v>0</v>
      </c>
      <c r="I514" s="18">
        <f t="shared" si="39"/>
        <v>0</v>
      </c>
    </row>
    <row r="515" ht="15.75" customHeight="1">
      <c r="A515" s="45" t="s">
        <v>980</v>
      </c>
      <c r="B515" s="46"/>
      <c r="C515" s="47">
        <v>1.0</v>
      </c>
      <c r="D515" s="48">
        <f t="shared" si="1"/>
        <v>0</v>
      </c>
      <c r="E515" s="49">
        <v>0.0</v>
      </c>
      <c r="F515" s="48">
        <f t="shared" si="64"/>
        <v>0</v>
      </c>
      <c r="G515" s="48">
        <f t="shared" si="65"/>
        <v>0</v>
      </c>
      <c r="H515" s="48">
        <f t="shared" si="2"/>
        <v>0</v>
      </c>
      <c r="I515" s="18">
        <f t="shared" si="39"/>
        <v>0</v>
      </c>
    </row>
    <row r="516" ht="15.75" customHeight="1">
      <c r="A516" s="45" t="s">
        <v>981</v>
      </c>
      <c r="B516" s="46"/>
      <c r="C516" s="47">
        <v>1.0</v>
      </c>
      <c r="D516" s="48">
        <f t="shared" si="1"/>
        <v>0</v>
      </c>
      <c r="E516" s="49">
        <v>0.0</v>
      </c>
      <c r="F516" s="48">
        <f t="shared" si="64"/>
        <v>0</v>
      </c>
      <c r="G516" s="48">
        <f t="shared" si="65"/>
        <v>0</v>
      </c>
      <c r="H516" s="48">
        <f t="shared" si="2"/>
        <v>0</v>
      </c>
      <c r="I516" s="18">
        <f t="shared" si="39"/>
        <v>0</v>
      </c>
    </row>
    <row r="517" ht="15.75" customHeight="1">
      <c r="A517" s="45" t="s">
        <v>982</v>
      </c>
      <c r="B517" s="46"/>
      <c r="C517" s="47">
        <v>1.0</v>
      </c>
      <c r="D517" s="48">
        <f t="shared" si="1"/>
        <v>0</v>
      </c>
      <c r="E517" s="49">
        <v>0.0</v>
      </c>
      <c r="F517" s="48">
        <f t="shared" si="64"/>
        <v>0</v>
      </c>
      <c r="G517" s="48">
        <f t="shared" si="65"/>
        <v>0</v>
      </c>
      <c r="H517" s="48">
        <f t="shared" si="2"/>
        <v>0</v>
      </c>
      <c r="I517" s="18">
        <f t="shared" si="39"/>
        <v>0</v>
      </c>
    </row>
    <row r="518" ht="15.75" customHeight="1">
      <c r="A518" s="45" t="s">
        <v>983</v>
      </c>
      <c r="B518" s="46"/>
      <c r="C518" s="47">
        <v>1.0</v>
      </c>
      <c r="D518" s="48">
        <f t="shared" si="1"/>
        <v>0</v>
      </c>
      <c r="E518" s="49">
        <v>0.0</v>
      </c>
      <c r="F518" s="48">
        <f t="shared" si="64"/>
        <v>0</v>
      </c>
      <c r="G518" s="48">
        <f t="shared" si="65"/>
        <v>0</v>
      </c>
      <c r="H518" s="48">
        <f t="shared" si="2"/>
        <v>0</v>
      </c>
      <c r="I518" s="18">
        <f t="shared" si="39"/>
        <v>0</v>
      </c>
    </row>
    <row r="519" ht="15.75" customHeight="1">
      <c r="A519" s="45" t="s">
        <v>984</v>
      </c>
      <c r="B519" s="46"/>
      <c r="C519" s="47">
        <v>1.0</v>
      </c>
      <c r="D519" s="48">
        <f t="shared" si="1"/>
        <v>0</v>
      </c>
      <c r="E519" s="49">
        <v>0.0</v>
      </c>
      <c r="F519" s="48">
        <f t="shared" si="64"/>
        <v>0</v>
      </c>
      <c r="G519" s="48">
        <f t="shared" si="65"/>
        <v>0</v>
      </c>
      <c r="H519" s="48">
        <f t="shared" si="2"/>
        <v>0</v>
      </c>
      <c r="I519" s="18">
        <f t="shared" si="39"/>
        <v>0</v>
      </c>
    </row>
    <row r="520" ht="15.75" customHeight="1">
      <c r="A520" s="45" t="s">
        <v>985</v>
      </c>
      <c r="B520" s="46"/>
      <c r="C520" s="47">
        <v>1.0</v>
      </c>
      <c r="D520" s="48">
        <f t="shared" si="1"/>
        <v>0</v>
      </c>
      <c r="E520" s="49">
        <v>0.0</v>
      </c>
      <c r="F520" s="48">
        <f t="shared" si="64"/>
        <v>0</v>
      </c>
      <c r="G520" s="48">
        <f t="shared" si="65"/>
        <v>0</v>
      </c>
      <c r="H520" s="48">
        <f t="shared" si="2"/>
        <v>0</v>
      </c>
      <c r="I520" s="18">
        <f t="shared" si="39"/>
        <v>0</v>
      </c>
    </row>
    <row r="521" ht="15.75" customHeight="1">
      <c r="A521" s="45" t="s">
        <v>986</v>
      </c>
      <c r="B521" s="46"/>
      <c r="C521" s="47">
        <v>1.0</v>
      </c>
      <c r="D521" s="48">
        <f t="shared" si="1"/>
        <v>0</v>
      </c>
      <c r="E521" s="49">
        <v>0.0</v>
      </c>
      <c r="F521" s="48">
        <f t="shared" si="64"/>
        <v>0</v>
      </c>
      <c r="G521" s="48">
        <f t="shared" si="65"/>
        <v>0</v>
      </c>
      <c r="H521" s="48">
        <f t="shared" si="2"/>
        <v>0</v>
      </c>
      <c r="I521" s="18">
        <f t="shared" si="39"/>
        <v>0</v>
      </c>
    </row>
    <row r="522" ht="15.75" customHeight="1">
      <c r="A522" s="45" t="s">
        <v>987</v>
      </c>
      <c r="B522" s="46"/>
      <c r="C522" s="47">
        <v>1.0</v>
      </c>
      <c r="D522" s="48">
        <f t="shared" si="1"/>
        <v>0</v>
      </c>
      <c r="E522" s="49">
        <v>0.0</v>
      </c>
      <c r="F522" s="48">
        <f t="shared" si="64"/>
        <v>0</v>
      </c>
      <c r="G522" s="48">
        <f t="shared" si="65"/>
        <v>0</v>
      </c>
      <c r="H522" s="48">
        <f t="shared" si="2"/>
        <v>0</v>
      </c>
      <c r="I522" s="18">
        <f t="shared" si="39"/>
        <v>0</v>
      </c>
    </row>
    <row r="523" ht="15.75" customHeight="1">
      <c r="A523" s="45" t="s">
        <v>988</v>
      </c>
      <c r="B523" s="46"/>
      <c r="C523" s="47">
        <v>1.0</v>
      </c>
      <c r="D523" s="48">
        <f t="shared" si="1"/>
        <v>0</v>
      </c>
      <c r="E523" s="49">
        <v>0.0</v>
      </c>
      <c r="F523" s="48">
        <f t="shared" si="64"/>
        <v>0</v>
      </c>
      <c r="G523" s="48">
        <f t="shared" si="65"/>
        <v>0</v>
      </c>
      <c r="H523" s="48">
        <f t="shared" si="2"/>
        <v>0</v>
      </c>
      <c r="I523" s="18">
        <f t="shared" si="39"/>
        <v>0</v>
      </c>
    </row>
    <row r="524" ht="15.75" customHeight="1">
      <c r="A524" s="45" t="s">
        <v>989</v>
      </c>
      <c r="B524" s="46"/>
      <c r="C524" s="47">
        <v>1.0</v>
      </c>
      <c r="D524" s="48">
        <f t="shared" si="1"/>
        <v>0</v>
      </c>
      <c r="E524" s="49">
        <v>0.0</v>
      </c>
      <c r="F524" s="48">
        <f t="shared" si="64"/>
        <v>0</v>
      </c>
      <c r="G524" s="48">
        <f t="shared" si="65"/>
        <v>0</v>
      </c>
      <c r="H524" s="48">
        <f t="shared" si="2"/>
        <v>0</v>
      </c>
      <c r="I524" s="18">
        <f t="shared" si="39"/>
        <v>0</v>
      </c>
    </row>
    <row r="525" ht="15.75" customHeight="1">
      <c r="A525" s="45" t="s">
        <v>990</v>
      </c>
      <c r="B525" s="46"/>
      <c r="C525" s="47">
        <v>1.0</v>
      </c>
      <c r="D525" s="48">
        <f t="shared" si="1"/>
        <v>0</v>
      </c>
      <c r="E525" s="49">
        <v>0.0</v>
      </c>
      <c r="F525" s="48">
        <f t="shared" si="64"/>
        <v>0</v>
      </c>
      <c r="G525" s="48">
        <f t="shared" si="65"/>
        <v>0</v>
      </c>
      <c r="H525" s="48">
        <f t="shared" si="2"/>
        <v>0</v>
      </c>
      <c r="I525" s="18">
        <f t="shared" si="39"/>
        <v>0</v>
      </c>
    </row>
    <row r="526" ht="15.75" customHeight="1">
      <c r="A526" s="45" t="s">
        <v>991</v>
      </c>
      <c r="B526" s="46"/>
      <c r="C526" s="47">
        <v>1.0</v>
      </c>
      <c r="D526" s="48">
        <f t="shared" si="1"/>
        <v>0</v>
      </c>
      <c r="E526" s="49">
        <v>0.0</v>
      </c>
      <c r="F526" s="48">
        <f t="shared" si="64"/>
        <v>0</v>
      </c>
      <c r="G526" s="48">
        <f t="shared" si="65"/>
        <v>0</v>
      </c>
      <c r="H526" s="48">
        <f t="shared" si="2"/>
        <v>0</v>
      </c>
      <c r="I526" s="18">
        <f t="shared" si="39"/>
        <v>0</v>
      </c>
    </row>
    <row r="527" ht="15.75" customHeight="1">
      <c r="A527" s="45" t="s">
        <v>992</v>
      </c>
      <c r="B527" s="46"/>
      <c r="C527" s="47">
        <v>1.0</v>
      </c>
      <c r="D527" s="48">
        <f t="shared" si="1"/>
        <v>0</v>
      </c>
      <c r="E527" s="49">
        <v>0.0</v>
      </c>
      <c r="F527" s="48">
        <f t="shared" si="64"/>
        <v>0</v>
      </c>
      <c r="G527" s="48">
        <f t="shared" si="65"/>
        <v>0</v>
      </c>
      <c r="H527" s="48">
        <f t="shared" si="2"/>
        <v>0</v>
      </c>
      <c r="I527" s="18">
        <f t="shared" si="39"/>
        <v>0</v>
      </c>
    </row>
    <row r="528" ht="15.75" customHeight="1">
      <c r="A528" s="45" t="s">
        <v>993</v>
      </c>
      <c r="B528" s="46"/>
      <c r="C528" s="47">
        <v>1.0</v>
      </c>
      <c r="D528" s="48">
        <f t="shared" si="1"/>
        <v>0</v>
      </c>
      <c r="E528" s="49">
        <v>0.0</v>
      </c>
      <c r="F528" s="48">
        <f t="shared" si="64"/>
        <v>0</v>
      </c>
      <c r="G528" s="48">
        <f t="shared" si="65"/>
        <v>0</v>
      </c>
      <c r="H528" s="48">
        <f t="shared" si="2"/>
        <v>0</v>
      </c>
      <c r="I528" s="18">
        <f t="shared" si="39"/>
        <v>0</v>
      </c>
    </row>
    <row r="529" ht="15.75" customHeight="1">
      <c r="A529" s="45" t="s">
        <v>994</v>
      </c>
      <c r="B529" s="46"/>
      <c r="C529" s="47">
        <v>1.0</v>
      </c>
      <c r="D529" s="48">
        <f t="shared" si="1"/>
        <v>0</v>
      </c>
      <c r="E529" s="49">
        <v>0.0</v>
      </c>
      <c r="F529" s="48">
        <f t="shared" si="64"/>
        <v>0</v>
      </c>
      <c r="G529" s="48">
        <f t="shared" si="65"/>
        <v>0</v>
      </c>
      <c r="H529" s="48">
        <f t="shared" si="2"/>
        <v>0</v>
      </c>
      <c r="I529" s="18">
        <f t="shared" si="39"/>
        <v>0</v>
      </c>
    </row>
    <row r="530" ht="15.75" customHeight="1">
      <c r="A530" s="45" t="s">
        <v>995</v>
      </c>
      <c r="B530" s="46"/>
      <c r="C530" s="47">
        <v>1.0</v>
      </c>
      <c r="D530" s="48">
        <f t="shared" si="1"/>
        <v>0</v>
      </c>
      <c r="E530" s="49">
        <v>0.0</v>
      </c>
      <c r="F530" s="48">
        <f t="shared" si="64"/>
        <v>0</v>
      </c>
      <c r="G530" s="48">
        <f t="shared" si="65"/>
        <v>0</v>
      </c>
      <c r="H530" s="48">
        <f t="shared" si="2"/>
        <v>0</v>
      </c>
      <c r="I530" s="18">
        <f t="shared" si="39"/>
        <v>0</v>
      </c>
    </row>
    <row r="531" ht="15.75" customHeight="1">
      <c r="A531" s="45" t="s">
        <v>996</v>
      </c>
      <c r="B531" s="46"/>
      <c r="C531" s="47">
        <v>1.0</v>
      </c>
      <c r="D531" s="48">
        <f t="shared" si="1"/>
        <v>0</v>
      </c>
      <c r="E531" s="49">
        <v>0.0</v>
      </c>
      <c r="F531" s="48">
        <f t="shared" si="64"/>
        <v>0</v>
      </c>
      <c r="G531" s="48">
        <f t="shared" si="65"/>
        <v>0</v>
      </c>
      <c r="H531" s="48">
        <f t="shared" si="2"/>
        <v>0</v>
      </c>
      <c r="I531" s="18">
        <f t="shared" si="39"/>
        <v>0</v>
      </c>
    </row>
    <row r="532" ht="15.75" customHeight="1">
      <c r="A532" s="45" t="s">
        <v>997</v>
      </c>
      <c r="B532" s="46"/>
      <c r="C532" s="47">
        <v>1.0</v>
      </c>
      <c r="D532" s="48">
        <f t="shared" si="1"/>
        <v>0</v>
      </c>
      <c r="E532" s="49">
        <v>0.0</v>
      </c>
      <c r="F532" s="48">
        <f t="shared" si="64"/>
        <v>0</v>
      </c>
      <c r="G532" s="48">
        <f t="shared" si="65"/>
        <v>0</v>
      </c>
      <c r="H532" s="48">
        <f t="shared" si="2"/>
        <v>0</v>
      </c>
      <c r="I532" s="18">
        <f t="shared" si="39"/>
        <v>0</v>
      </c>
    </row>
    <row r="533" ht="15.75" customHeight="1">
      <c r="A533" s="45" t="s">
        <v>998</v>
      </c>
      <c r="B533" s="46"/>
      <c r="C533" s="47">
        <v>1.0</v>
      </c>
      <c r="D533" s="48">
        <f t="shared" si="1"/>
        <v>0</v>
      </c>
      <c r="E533" s="49">
        <v>0.0</v>
      </c>
      <c r="F533" s="48">
        <f t="shared" si="64"/>
        <v>0</v>
      </c>
      <c r="G533" s="48">
        <f t="shared" si="65"/>
        <v>0</v>
      </c>
      <c r="H533" s="48">
        <f t="shared" si="2"/>
        <v>0</v>
      </c>
      <c r="I533" s="18">
        <f t="shared" si="39"/>
        <v>0</v>
      </c>
    </row>
    <row r="534" ht="15.75" customHeight="1">
      <c r="A534" s="45" t="s">
        <v>999</v>
      </c>
      <c r="B534" s="46"/>
      <c r="C534" s="47">
        <v>1.0</v>
      </c>
      <c r="D534" s="48">
        <f t="shared" si="1"/>
        <v>0</v>
      </c>
      <c r="E534" s="49">
        <v>0.0</v>
      </c>
      <c r="F534" s="48">
        <f t="shared" si="64"/>
        <v>0</v>
      </c>
      <c r="G534" s="48">
        <f t="shared" si="65"/>
        <v>0</v>
      </c>
      <c r="H534" s="48">
        <f t="shared" si="2"/>
        <v>0</v>
      </c>
      <c r="I534" s="18">
        <f t="shared" si="39"/>
        <v>0</v>
      </c>
    </row>
    <row r="535" ht="15.75" customHeight="1">
      <c r="A535" s="45" t="s">
        <v>1000</v>
      </c>
      <c r="B535" s="46"/>
      <c r="C535" s="47">
        <v>1.0</v>
      </c>
      <c r="D535" s="48">
        <f t="shared" si="1"/>
        <v>0</v>
      </c>
      <c r="E535" s="49">
        <v>0.0</v>
      </c>
      <c r="F535" s="48">
        <f t="shared" si="64"/>
        <v>0</v>
      </c>
      <c r="G535" s="48">
        <f t="shared" si="65"/>
        <v>0</v>
      </c>
      <c r="H535" s="48">
        <f t="shared" si="2"/>
        <v>0</v>
      </c>
      <c r="I535" s="18">
        <f t="shared" si="39"/>
        <v>0</v>
      </c>
    </row>
    <row r="536" ht="15.75" customHeight="1">
      <c r="A536" s="45" t="s">
        <v>1001</v>
      </c>
      <c r="B536" s="46"/>
      <c r="C536" s="47">
        <v>1.0</v>
      </c>
      <c r="D536" s="48">
        <f t="shared" si="1"/>
        <v>0</v>
      </c>
      <c r="E536" s="49">
        <v>0.0</v>
      </c>
      <c r="F536" s="48">
        <f t="shared" si="64"/>
        <v>0</v>
      </c>
      <c r="G536" s="48">
        <f t="shared" si="65"/>
        <v>0</v>
      </c>
      <c r="H536" s="48">
        <f t="shared" si="2"/>
        <v>0</v>
      </c>
      <c r="I536" s="18">
        <f t="shared" si="39"/>
        <v>0</v>
      </c>
    </row>
    <row r="537" ht="15.75" customHeight="1">
      <c r="A537" s="45" t="s">
        <v>1002</v>
      </c>
      <c r="B537" s="46"/>
      <c r="C537" s="47">
        <v>1.0</v>
      </c>
      <c r="D537" s="48">
        <f t="shared" si="1"/>
        <v>0</v>
      </c>
      <c r="E537" s="49">
        <v>0.0</v>
      </c>
      <c r="F537" s="48">
        <f t="shared" si="64"/>
        <v>0</v>
      </c>
      <c r="G537" s="48">
        <f t="shared" si="65"/>
        <v>0</v>
      </c>
      <c r="H537" s="48">
        <f t="shared" si="2"/>
        <v>0</v>
      </c>
      <c r="I537" s="18">
        <f t="shared" si="39"/>
        <v>0</v>
      </c>
    </row>
    <row r="538" ht="15.75" customHeight="1">
      <c r="A538" s="45" t="s">
        <v>1003</v>
      </c>
      <c r="B538" s="46"/>
      <c r="C538" s="47">
        <v>1.0</v>
      </c>
      <c r="D538" s="48">
        <f t="shared" si="1"/>
        <v>0</v>
      </c>
      <c r="E538" s="49">
        <v>0.0</v>
      </c>
      <c r="F538" s="48">
        <f t="shared" si="64"/>
        <v>0</v>
      </c>
      <c r="G538" s="48">
        <f t="shared" si="65"/>
        <v>0</v>
      </c>
      <c r="H538" s="48">
        <f t="shared" si="2"/>
        <v>0</v>
      </c>
      <c r="I538" s="18">
        <f t="shared" si="39"/>
        <v>0</v>
      </c>
    </row>
    <row r="539" ht="15.75" customHeight="1">
      <c r="A539" s="45" t="s">
        <v>1004</v>
      </c>
      <c r="B539" s="46"/>
      <c r="C539" s="47">
        <v>1.0</v>
      </c>
      <c r="D539" s="48">
        <f t="shared" si="1"/>
        <v>0</v>
      </c>
      <c r="E539" s="49">
        <v>0.0</v>
      </c>
      <c r="F539" s="48">
        <f t="shared" si="64"/>
        <v>0</v>
      </c>
      <c r="G539" s="48">
        <f t="shared" si="65"/>
        <v>0</v>
      </c>
      <c r="H539" s="48">
        <f t="shared" si="2"/>
        <v>0</v>
      </c>
      <c r="I539" s="18">
        <f t="shared" si="39"/>
        <v>0</v>
      </c>
    </row>
    <row r="540" ht="15.75" customHeight="1">
      <c r="A540" s="45" t="s">
        <v>1005</v>
      </c>
      <c r="B540" s="46"/>
      <c r="C540" s="47">
        <v>1.0</v>
      </c>
      <c r="D540" s="48">
        <f t="shared" si="1"/>
        <v>0</v>
      </c>
      <c r="E540" s="49">
        <v>0.0</v>
      </c>
      <c r="F540" s="48">
        <f t="shared" si="64"/>
        <v>0</v>
      </c>
      <c r="G540" s="48">
        <f t="shared" si="65"/>
        <v>0</v>
      </c>
      <c r="H540" s="48">
        <f t="shared" si="2"/>
        <v>0</v>
      </c>
      <c r="I540" s="18">
        <f t="shared" si="39"/>
        <v>0</v>
      </c>
    </row>
    <row r="541" ht="15.75" customHeight="1">
      <c r="A541" s="45" t="s">
        <v>1006</v>
      </c>
      <c r="B541" s="46"/>
      <c r="C541" s="47">
        <v>1.0</v>
      </c>
      <c r="D541" s="48">
        <f t="shared" si="1"/>
        <v>0</v>
      </c>
      <c r="E541" s="49">
        <v>0.0</v>
      </c>
      <c r="F541" s="48">
        <f t="shared" si="64"/>
        <v>0</v>
      </c>
      <c r="G541" s="48">
        <f t="shared" si="65"/>
        <v>0</v>
      </c>
      <c r="H541" s="48">
        <f t="shared" si="2"/>
        <v>0</v>
      </c>
      <c r="I541" s="18">
        <f t="shared" si="39"/>
        <v>0</v>
      </c>
    </row>
    <row r="542" ht="15.75" customHeight="1">
      <c r="A542" s="45" t="s">
        <v>1007</v>
      </c>
      <c r="B542" s="46"/>
      <c r="C542" s="47">
        <v>1.0</v>
      </c>
      <c r="D542" s="48">
        <f t="shared" si="1"/>
        <v>0</v>
      </c>
      <c r="E542" s="49">
        <v>0.0</v>
      </c>
      <c r="F542" s="48">
        <f t="shared" si="64"/>
        <v>0</v>
      </c>
      <c r="G542" s="48">
        <f t="shared" si="65"/>
        <v>0</v>
      </c>
      <c r="H542" s="48">
        <f t="shared" si="2"/>
        <v>0</v>
      </c>
      <c r="I542" s="18">
        <f t="shared" si="39"/>
        <v>0</v>
      </c>
    </row>
    <row r="543" ht="15.75" customHeight="1">
      <c r="A543" s="45" t="s">
        <v>1008</v>
      </c>
      <c r="B543" s="46"/>
      <c r="C543" s="47">
        <v>1.0</v>
      </c>
      <c r="D543" s="48">
        <f t="shared" si="1"/>
        <v>0</v>
      </c>
      <c r="E543" s="49">
        <v>0.0</v>
      </c>
      <c r="F543" s="48">
        <f t="shared" si="64"/>
        <v>0</v>
      </c>
      <c r="G543" s="48">
        <f t="shared" si="65"/>
        <v>0</v>
      </c>
      <c r="H543" s="48">
        <f t="shared" si="2"/>
        <v>0</v>
      </c>
      <c r="I543" s="18">
        <f t="shared" si="39"/>
        <v>0</v>
      </c>
    </row>
    <row r="544" ht="15.75" customHeight="1">
      <c r="A544" s="45" t="s">
        <v>1009</v>
      </c>
      <c r="B544" s="46"/>
      <c r="C544" s="47">
        <v>1.0</v>
      </c>
      <c r="D544" s="48">
        <f t="shared" si="1"/>
        <v>0</v>
      </c>
      <c r="E544" s="49">
        <v>0.0</v>
      </c>
      <c r="F544" s="48">
        <f t="shared" si="64"/>
        <v>0</v>
      </c>
      <c r="G544" s="48">
        <f t="shared" si="65"/>
        <v>0</v>
      </c>
      <c r="H544" s="48">
        <f t="shared" si="2"/>
        <v>0</v>
      </c>
      <c r="I544" s="18">
        <f t="shared" si="39"/>
        <v>0</v>
      </c>
    </row>
    <row r="545" ht="15.75" customHeight="1">
      <c r="A545" s="45" t="s">
        <v>1010</v>
      </c>
      <c r="B545" s="46"/>
      <c r="C545" s="47">
        <v>1.0</v>
      </c>
      <c r="D545" s="48">
        <f t="shared" si="1"/>
        <v>0</v>
      </c>
      <c r="E545" s="49">
        <v>0.0</v>
      </c>
      <c r="F545" s="48">
        <f t="shared" si="64"/>
        <v>0</v>
      </c>
      <c r="G545" s="48">
        <f t="shared" si="65"/>
        <v>0</v>
      </c>
      <c r="H545" s="48">
        <f t="shared" si="2"/>
        <v>0</v>
      </c>
      <c r="I545" s="18">
        <f t="shared" si="39"/>
        <v>0</v>
      </c>
    </row>
    <row r="546" ht="15.75" customHeight="1">
      <c r="A546" s="45" t="s">
        <v>1011</v>
      </c>
      <c r="B546" s="46"/>
      <c r="C546" s="47">
        <v>1.0</v>
      </c>
      <c r="D546" s="48">
        <f t="shared" si="1"/>
        <v>0</v>
      </c>
      <c r="E546" s="49">
        <v>0.0</v>
      </c>
      <c r="F546" s="48">
        <f t="shared" si="64"/>
        <v>0</v>
      </c>
      <c r="G546" s="48">
        <f t="shared" si="65"/>
        <v>0</v>
      </c>
      <c r="H546" s="48">
        <f t="shared" si="2"/>
        <v>0</v>
      </c>
      <c r="I546" s="18">
        <f t="shared" si="39"/>
        <v>0</v>
      </c>
    </row>
    <row r="547" ht="15.75" customHeight="1">
      <c r="A547" s="45" t="s">
        <v>1012</v>
      </c>
      <c r="B547" s="46"/>
      <c r="C547" s="47">
        <v>1.0</v>
      </c>
      <c r="D547" s="48">
        <f t="shared" si="1"/>
        <v>0</v>
      </c>
      <c r="E547" s="49">
        <v>0.0</v>
      </c>
      <c r="F547" s="48">
        <f t="shared" si="64"/>
        <v>0</v>
      </c>
      <c r="G547" s="48">
        <f t="shared" si="65"/>
        <v>0</v>
      </c>
      <c r="H547" s="48">
        <f t="shared" si="2"/>
        <v>0</v>
      </c>
      <c r="I547" s="18">
        <f t="shared" si="39"/>
        <v>0</v>
      </c>
    </row>
    <row r="548" ht="15.75" customHeight="1">
      <c r="A548" s="45" t="s">
        <v>1013</v>
      </c>
      <c r="B548" s="46"/>
      <c r="C548" s="47">
        <v>1.0</v>
      </c>
      <c r="D548" s="48">
        <f t="shared" si="1"/>
        <v>0</v>
      </c>
      <c r="E548" s="49">
        <v>0.0</v>
      </c>
      <c r="F548" s="48">
        <f t="shared" si="64"/>
        <v>0</v>
      </c>
      <c r="G548" s="48">
        <f t="shared" si="65"/>
        <v>0</v>
      </c>
      <c r="H548" s="48">
        <f t="shared" si="2"/>
        <v>0</v>
      </c>
      <c r="I548" s="18">
        <f t="shared" si="39"/>
        <v>0</v>
      </c>
    </row>
    <row r="549" ht="15.75" customHeight="1">
      <c r="A549" s="45" t="s">
        <v>1014</v>
      </c>
      <c r="B549" s="46"/>
      <c r="C549" s="47">
        <v>1.0</v>
      </c>
      <c r="D549" s="48">
        <f t="shared" si="1"/>
        <v>0</v>
      </c>
      <c r="E549" s="49">
        <v>0.0</v>
      </c>
      <c r="F549" s="48">
        <f t="shared" si="64"/>
        <v>0</v>
      </c>
      <c r="G549" s="48">
        <f t="shared" si="65"/>
        <v>0</v>
      </c>
      <c r="H549" s="48">
        <f t="shared" si="2"/>
        <v>0</v>
      </c>
      <c r="I549" s="18">
        <f t="shared" si="39"/>
        <v>0</v>
      </c>
    </row>
    <row r="550" ht="15.75" customHeight="1">
      <c r="A550" s="45" t="s">
        <v>1015</v>
      </c>
      <c r="B550" s="46"/>
      <c r="C550" s="47">
        <v>1.0</v>
      </c>
      <c r="D550" s="48">
        <f t="shared" si="1"/>
        <v>0</v>
      </c>
      <c r="E550" s="49">
        <v>0.0</v>
      </c>
      <c r="F550" s="48">
        <f t="shared" si="64"/>
        <v>0</v>
      </c>
      <c r="G550" s="48">
        <f t="shared" si="65"/>
        <v>0</v>
      </c>
      <c r="H550" s="48">
        <f t="shared" si="2"/>
        <v>0</v>
      </c>
      <c r="I550" s="18">
        <f t="shared" si="39"/>
        <v>0</v>
      </c>
    </row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4:E4"/>
    <mergeCell ref="D5:E5"/>
    <mergeCell ref="A7:H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2026-04-08T02:21:16Z</dcterms:created>
  <dc:creator>FRANK</dc:creator>
</cp:coreProperties>
</file>